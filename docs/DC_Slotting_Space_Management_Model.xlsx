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DOCS\JOB SUBMITTALS\"/>
    </mc:Choice>
  </mc:AlternateContent>
  <xr:revisionPtr revIDLastSave="0" documentId="13_ncr:1_{50FE7D2F-AE36-4227-8F80-2BF0F8B3B96C}" xr6:coauthVersionLast="47" xr6:coauthVersionMax="47" xr10:uidLastSave="{00000000-0000-0000-0000-000000000000}"/>
  <bookViews>
    <workbookView xWindow="-28935" yWindow="-135" windowWidth="29070" windowHeight="15750" xr2:uid="{BA6D9179-6834-4C86-B6C5-9F8B9704E489}"/>
  </bookViews>
  <sheets>
    <sheet name="LEGEND" sheetId="1" r:id="rId1"/>
    <sheet name="Data_Raw" sheetId="2" r:id="rId2"/>
    <sheet name="Calculations 1" sheetId="3" r:id="rId3"/>
    <sheet name="Calculations 2" sheetId="6" r:id="rId4"/>
    <sheet name="Pivot_Summary" sheetId="5" r:id="rId5"/>
  </sheets>
  <calcPr calcId="191029"/>
  <pivotCaches>
    <pivotCache cacheId="2" r:id="rId6"/>
    <pivotCache cacheId="1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G6" i="5"/>
  <c r="G5" i="5"/>
  <c r="G4" i="5"/>
  <c r="G3" i="5"/>
  <c r="G2" i="5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E31" i="2"/>
  <c r="F31" i="2" s="1"/>
  <c r="G31" i="2" s="1"/>
  <c r="B2" i="6"/>
  <c r="B4" i="6"/>
  <c r="B16" i="6"/>
  <c r="B19" i="6"/>
  <c r="B29" i="6"/>
  <c r="B3" i="6"/>
  <c r="B5" i="6"/>
  <c r="B17" i="6"/>
  <c r="B30" i="6"/>
  <c r="B21" i="6"/>
  <c r="B6" i="6"/>
  <c r="B7" i="6"/>
  <c r="B11" i="6"/>
  <c r="B23" i="6"/>
  <c r="B9" i="6"/>
  <c r="B25" i="6"/>
  <c r="B22" i="6"/>
  <c r="B31" i="6"/>
  <c r="B18" i="6"/>
  <c r="B27" i="6"/>
  <c r="B15" i="6"/>
  <c r="B10" i="6"/>
  <c r="B8" i="6"/>
  <c r="B24" i="6"/>
  <c r="B28" i="6"/>
  <c r="B20" i="6"/>
  <c r="B26" i="6"/>
  <c r="B13" i="6"/>
  <c r="B12" i="6"/>
  <c r="B14" i="6"/>
  <c r="R31" i="2"/>
  <c r="T31" i="2" s="1"/>
  <c r="R30" i="2"/>
  <c r="T30" i="2" s="1"/>
  <c r="E30" i="2" s="1"/>
  <c r="F30" i="2" s="1"/>
  <c r="G30" i="2" s="1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C20" i="6" l="1"/>
  <c r="C2" i="6"/>
  <c r="C31" i="6"/>
  <c r="C3" i="6"/>
  <c r="C8" i="6"/>
  <c r="C4" i="6"/>
  <c r="C14" i="6"/>
  <c r="C12" i="6"/>
  <c r="C19" i="6"/>
  <c r="C22" i="6"/>
  <c r="C26" i="6"/>
  <c r="C9" i="6"/>
  <c r="C7" i="6"/>
  <c r="C10" i="6"/>
  <c r="C21" i="6"/>
  <c r="C15" i="6"/>
  <c r="C27" i="6"/>
  <c r="C23" i="6"/>
  <c r="C25" i="6"/>
  <c r="C13" i="6"/>
  <c r="C24" i="6"/>
  <c r="C11" i="6"/>
  <c r="C30" i="6"/>
  <c r="C18" i="6"/>
  <c r="C6" i="6"/>
  <c r="C29" i="6"/>
  <c r="C17" i="6"/>
  <c r="C5" i="6"/>
  <c r="C28" i="6"/>
  <c r="C16" i="6"/>
  <c r="D3" i="6" l="1"/>
  <c r="E3" i="6" s="1"/>
  <c r="S7" i="2" s="1"/>
  <c r="T7" i="2" s="1"/>
  <c r="E7" i="2" s="1"/>
  <c r="F7" i="2" s="1"/>
  <c r="G7" i="2" s="1"/>
  <c r="D25" i="6"/>
  <c r="E25" i="6" s="1"/>
  <c r="S17" i="2" s="1"/>
  <c r="T17" i="2" s="1"/>
  <c r="E17" i="2" s="1"/>
  <c r="F17" i="2" s="1"/>
  <c r="G17" i="2" s="1"/>
  <c r="D2" i="6"/>
  <c r="E2" i="6" s="1"/>
  <c r="S2" i="2" s="1"/>
  <c r="T2" i="2" s="1"/>
  <c r="E2" i="2" s="1"/>
  <c r="F2" i="2" s="1"/>
  <c r="G2" i="2" s="1"/>
  <c r="D4" i="6"/>
  <c r="E4" i="6" s="1"/>
  <c r="S3" i="2" s="1"/>
  <c r="T3" i="2" s="1"/>
  <c r="E3" i="2" s="1"/>
  <c r="F3" i="2" s="1"/>
  <c r="G3" i="2" s="1"/>
  <c r="D8" i="6"/>
  <c r="E8" i="6" s="1"/>
  <c r="S24" i="2" s="1"/>
  <c r="T24" i="2" s="1"/>
  <c r="E24" i="2" s="1"/>
  <c r="F24" i="2" s="1"/>
  <c r="G24" i="2" s="1"/>
  <c r="D27" i="6"/>
  <c r="E27" i="6" s="1"/>
  <c r="S21" i="2" s="1"/>
  <c r="T21" i="2" s="1"/>
  <c r="E21" i="2" s="1"/>
  <c r="F21" i="2" s="1"/>
  <c r="G21" i="2" s="1"/>
  <c r="D22" i="6"/>
  <c r="E22" i="6" s="1"/>
  <c r="S18" i="2" s="1"/>
  <c r="T18" i="2" s="1"/>
  <c r="E18" i="2" s="1"/>
  <c r="F18" i="2" s="1"/>
  <c r="G18" i="2" s="1"/>
  <c r="D13" i="6"/>
  <c r="E13" i="6" s="1"/>
  <c r="S29" i="2" s="1"/>
  <c r="T29" i="2" s="1"/>
  <c r="E29" i="2" s="1"/>
  <c r="F29" i="2" s="1"/>
  <c r="G29" i="2" s="1"/>
  <c r="D12" i="6"/>
  <c r="E12" i="6" s="1"/>
  <c r="S30" i="2" s="1"/>
  <c r="D26" i="6"/>
  <c r="E26" i="6" s="1"/>
  <c r="S28" i="2" s="1"/>
  <c r="T28" i="2" s="1"/>
  <c r="E28" i="2" s="1"/>
  <c r="F28" i="2" s="1"/>
  <c r="G28" i="2" s="1"/>
  <c r="D23" i="6"/>
  <c r="E23" i="6" s="1"/>
  <c r="S15" i="2" s="1"/>
  <c r="T15" i="2" s="1"/>
  <c r="E15" i="2" s="1"/>
  <c r="F15" i="2" s="1"/>
  <c r="G15" i="2" s="1"/>
  <c r="D14" i="6"/>
  <c r="E14" i="6" s="1"/>
  <c r="S31" i="2" s="1"/>
  <c r="D11" i="6"/>
  <c r="E11" i="6" s="1"/>
  <c r="S14" i="2" s="1"/>
  <c r="T14" i="2" s="1"/>
  <c r="E14" i="2" s="1"/>
  <c r="F14" i="2" s="1"/>
  <c r="G14" i="2" s="1"/>
  <c r="D19" i="6"/>
  <c r="E19" i="6" s="1"/>
  <c r="S5" i="2" s="1"/>
  <c r="T5" i="2" s="1"/>
  <c r="E5" i="2" s="1"/>
  <c r="F5" i="2" s="1"/>
  <c r="G5" i="2" s="1"/>
  <c r="D9" i="6"/>
  <c r="E9" i="6" s="1"/>
  <c r="S16" i="2" s="1"/>
  <c r="T16" i="2" s="1"/>
  <c r="E16" i="2" s="1"/>
  <c r="F16" i="2" s="1"/>
  <c r="G16" i="2" s="1"/>
  <c r="D6" i="6"/>
  <c r="E6" i="6" s="1"/>
  <c r="S12" i="2" s="1"/>
  <c r="T12" i="2" s="1"/>
  <c r="E12" i="2" s="1"/>
  <c r="F12" i="2" s="1"/>
  <c r="G12" i="2" s="1"/>
  <c r="D29" i="6"/>
  <c r="E29" i="6" s="1"/>
  <c r="S6" i="2" s="1"/>
  <c r="T6" i="2" s="1"/>
  <c r="E6" i="2" s="1"/>
  <c r="F6" i="2" s="1"/>
  <c r="G6" i="2" s="1"/>
  <c r="D20" i="6"/>
  <c r="E20" i="6" s="1"/>
  <c r="S27" i="2" s="1"/>
  <c r="T27" i="2" s="1"/>
  <c r="E27" i="2" s="1"/>
  <c r="F27" i="2" s="1"/>
  <c r="G27" i="2" s="1"/>
  <c r="D15" i="6"/>
  <c r="E15" i="6" s="1"/>
  <c r="S22" i="2" s="1"/>
  <c r="T22" i="2" s="1"/>
  <c r="E22" i="2" s="1"/>
  <c r="F22" i="2" s="1"/>
  <c r="G22" i="2" s="1"/>
  <c r="D24" i="6"/>
  <c r="E24" i="6" s="1"/>
  <c r="S25" i="2" s="1"/>
  <c r="T25" i="2" s="1"/>
  <c r="E25" i="2" s="1"/>
  <c r="F25" i="2" s="1"/>
  <c r="G25" i="2" s="1"/>
  <c r="D31" i="6"/>
  <c r="E31" i="6" s="1"/>
  <c r="S19" i="2" s="1"/>
  <c r="T19" i="2" s="1"/>
  <c r="E19" i="2" s="1"/>
  <c r="F19" i="2" s="1"/>
  <c r="G19" i="2" s="1"/>
  <c r="D28" i="6"/>
  <c r="E28" i="6" s="1"/>
  <c r="S26" i="2" s="1"/>
  <c r="T26" i="2" s="1"/>
  <c r="E26" i="2" s="1"/>
  <c r="F26" i="2" s="1"/>
  <c r="G26" i="2" s="1"/>
  <c r="D7" i="6"/>
  <c r="E7" i="6" s="1"/>
  <c r="S13" i="2" s="1"/>
  <c r="T13" i="2" s="1"/>
  <c r="E13" i="2" s="1"/>
  <c r="F13" i="2" s="1"/>
  <c r="G13" i="2" s="1"/>
  <c r="D10" i="6"/>
  <c r="E10" i="6" s="1"/>
  <c r="S23" i="2" s="1"/>
  <c r="T23" i="2" s="1"/>
  <c r="E23" i="2" s="1"/>
  <c r="F23" i="2" s="1"/>
  <c r="G23" i="2" s="1"/>
  <c r="D16" i="6"/>
  <c r="E16" i="6" s="1"/>
  <c r="S4" i="2" s="1"/>
  <c r="T4" i="2" s="1"/>
  <c r="E4" i="2" s="1"/>
  <c r="F4" i="2" s="1"/>
  <c r="G4" i="2" s="1"/>
  <c r="D30" i="6"/>
  <c r="E30" i="6" s="1"/>
  <c r="S10" i="2" s="1"/>
  <c r="T10" i="2" s="1"/>
  <c r="E10" i="2" s="1"/>
  <c r="F10" i="2" s="1"/>
  <c r="G10" i="2" s="1"/>
  <c r="D21" i="6"/>
  <c r="E21" i="6" s="1"/>
  <c r="S11" i="2" s="1"/>
  <c r="T11" i="2" s="1"/>
  <c r="E11" i="2" s="1"/>
  <c r="F11" i="2" s="1"/>
  <c r="G11" i="2" s="1"/>
  <c r="D18" i="6"/>
  <c r="E18" i="6" s="1"/>
  <c r="S20" i="2" s="1"/>
  <c r="T20" i="2" s="1"/>
  <c r="E20" i="2" s="1"/>
  <c r="F20" i="2" s="1"/>
  <c r="G20" i="2" s="1"/>
  <c r="D5" i="6"/>
  <c r="E5" i="6" s="1"/>
  <c r="S8" i="2" s="1"/>
  <c r="T8" i="2" s="1"/>
  <c r="E8" i="2" s="1"/>
  <c r="F8" i="2" s="1"/>
  <c r="G8" i="2" s="1"/>
  <c r="D17" i="6"/>
  <c r="E17" i="6" s="1"/>
  <c r="S9" i="2" s="1"/>
  <c r="T9" i="2" s="1"/>
  <c r="E9" i="2" s="1"/>
  <c r="F9" i="2" s="1"/>
  <c r="G9" i="2" s="1"/>
</calcChain>
</file>

<file path=xl/sharedStrings.xml><?xml version="1.0" encoding="utf-8"?>
<sst xmlns="http://schemas.openxmlformats.org/spreadsheetml/2006/main" count="518" uniqueCount="176">
  <si>
    <t>Column</t>
  </si>
  <si>
    <t>Header</t>
  </si>
  <si>
    <t>A</t>
  </si>
  <si>
    <t>SKU</t>
  </si>
  <si>
    <t>B</t>
  </si>
  <si>
    <t>Description</t>
  </si>
  <si>
    <t>C</t>
  </si>
  <si>
    <t>Weekly_Picks</t>
  </si>
  <si>
    <t>D</t>
  </si>
  <si>
    <t>Unit_Cube</t>
  </si>
  <si>
    <t>E</t>
  </si>
  <si>
    <t>Unit_Weight</t>
  </si>
  <si>
    <t>F</t>
  </si>
  <si>
    <t>Current_Location</t>
  </si>
  <si>
    <t>G</t>
  </si>
  <si>
    <t>Pick_Zone</t>
  </si>
  <si>
    <t>H</t>
  </si>
  <si>
    <t>Replen_Frequency</t>
  </si>
  <si>
    <t>SKU-1001</t>
  </si>
  <si>
    <t>Hex Bolt 1/2"</t>
  </si>
  <si>
    <t>A-01-01</t>
  </si>
  <si>
    <t>Fast</t>
  </si>
  <si>
    <t>Daily</t>
  </si>
  <si>
    <t>SKU-1002</t>
  </si>
  <si>
    <t>Washer 1/2"</t>
  </si>
  <si>
    <t>A-01-02</t>
  </si>
  <si>
    <t>SKU-1010</t>
  </si>
  <si>
    <t>PVC Elbow 2"</t>
  </si>
  <si>
    <t>B-03-04</t>
  </si>
  <si>
    <t>Medium</t>
  </si>
  <si>
    <t>Weekly</t>
  </si>
  <si>
    <t>SKU-1022</t>
  </si>
  <si>
    <t>Copper Tee 3/4"</t>
  </si>
  <si>
    <t>B-04-01</t>
  </si>
  <si>
    <t>SKU-1040</t>
  </si>
  <si>
    <t>Tool Bag</t>
  </si>
  <si>
    <t>C-07-02</t>
  </si>
  <si>
    <t>Slow</t>
  </si>
  <si>
    <t>Monthly</t>
  </si>
  <si>
    <t>SKU-1051</t>
  </si>
  <si>
    <t>Hex Nut 1/2"</t>
  </si>
  <si>
    <t>A-01-03</t>
  </si>
  <si>
    <t>SKU-1058</t>
  </si>
  <si>
    <t>Flat Washer 3/8"</t>
  </si>
  <si>
    <t>A-01-04</t>
  </si>
  <si>
    <t>SKU-1065</t>
  </si>
  <si>
    <t>Threaded Rod 3 ft</t>
  </si>
  <si>
    <t>B-02-02</t>
  </si>
  <si>
    <t>SKU-1073</t>
  </si>
  <si>
    <t>PVC Pipe 2" x 10 ft</t>
  </si>
  <si>
    <t>D-01-01</t>
  </si>
  <si>
    <t>SKU-1081</t>
  </si>
  <si>
    <t>Electrical Conduit 1"</t>
  </si>
  <si>
    <t>C-03-01</t>
  </si>
  <si>
    <t>SKU-1090</t>
  </si>
  <si>
    <t>Wire Nuts (Pack of 50)</t>
  </si>
  <si>
    <t>A-02-01</t>
  </si>
  <si>
    <t>SKU-1097</t>
  </si>
  <si>
    <t>Electrical Tape</t>
  </si>
  <si>
    <t>A-02-02</t>
  </si>
  <si>
    <t>SKU-1105</t>
  </si>
  <si>
    <t>Safety Gloves (L)</t>
  </si>
  <si>
    <t>B-01-03</t>
  </si>
  <si>
    <t>SKU-1112</t>
  </si>
  <si>
    <t>Hard Hat</t>
  </si>
  <si>
    <t>C-04-02</t>
  </si>
  <si>
    <t>SKU-1120</t>
  </si>
  <si>
    <t>Safety Glasses</t>
  </si>
  <si>
    <t>A-02-03</t>
  </si>
  <si>
    <t>SKU-1134</t>
  </si>
  <si>
    <t>Adjustable Wrench 10"</t>
  </si>
  <si>
    <t>C-05-01</t>
  </si>
  <si>
    <t>SKU-1141</t>
  </si>
  <si>
    <t>Hammer 16 oz</t>
  </si>
  <si>
    <t>B-05-02</t>
  </si>
  <si>
    <t>SKU-1150</t>
  </si>
  <si>
    <t>Power Drill Kit</t>
  </si>
  <si>
    <t>D-02-01</t>
  </si>
  <si>
    <t>SKU-1163</t>
  </si>
  <si>
    <t>Drill Bits Set</t>
  </si>
  <si>
    <t>B-06-01</t>
  </si>
  <si>
    <t>SKU-1178</t>
  </si>
  <si>
    <t>Socket Set</t>
  </si>
  <si>
    <t>C-06-02</t>
  </si>
  <si>
    <t>SKU-1186</t>
  </si>
  <si>
    <t>Steel Bracket</t>
  </si>
  <si>
    <t>B-02-04</t>
  </si>
  <si>
    <t>SKU-1194</t>
  </si>
  <si>
    <t>Lag Screw 3/8"</t>
  </si>
  <si>
    <t>A-03-01</t>
  </si>
  <si>
    <t>SKU-1201</t>
  </si>
  <si>
    <t>Drywall Anchors</t>
  </si>
  <si>
    <t>A-03-02</t>
  </si>
  <si>
    <t>SKU-1215</t>
  </si>
  <si>
    <t>Paint Roller Frame</t>
  </si>
  <si>
    <t>C-02-03</t>
  </si>
  <si>
    <t>SKU-1223</t>
  </si>
  <si>
    <t>Paint Tray</t>
  </si>
  <si>
    <t>C-02-04</t>
  </si>
  <si>
    <t>SKU-1238</t>
  </si>
  <si>
    <t>Extension Cord 25 ft</t>
  </si>
  <si>
    <t>B-07-01</t>
  </si>
  <si>
    <t>SKU-1246</t>
  </si>
  <si>
    <t>LED Work Light</t>
  </si>
  <si>
    <t>C-08-01</t>
  </si>
  <si>
    <t>SKU-1259</t>
  </si>
  <si>
    <t>Shop Rags (Pack)</t>
  </si>
  <si>
    <t>B-03-02</t>
  </si>
  <si>
    <t>SKU-1267</t>
  </si>
  <si>
    <t>Caulk Tube</t>
  </si>
  <si>
    <t>A-04-01</t>
  </si>
  <si>
    <t>SKU-1275</t>
  </si>
  <si>
    <t>Silicone Sealant</t>
  </si>
  <si>
    <t>A-04-02</t>
  </si>
  <si>
    <t>Category</t>
  </si>
  <si>
    <t>Handling_Type</t>
  </si>
  <si>
    <t>Hazmat_YN</t>
  </si>
  <si>
    <t>Fasteners</t>
  </si>
  <si>
    <t>Each</t>
  </si>
  <si>
    <t>N</t>
  </si>
  <si>
    <t>Plumbing</t>
  </si>
  <si>
    <t>Tools</t>
  </si>
  <si>
    <t>Bulk</t>
  </si>
  <si>
    <t>Electrical</t>
  </si>
  <si>
    <t>Case</t>
  </si>
  <si>
    <t>Safety</t>
  </si>
  <si>
    <t>Paint</t>
  </si>
  <si>
    <t>Sealants</t>
  </si>
  <si>
    <t>Y</t>
  </si>
  <si>
    <t>Category_List</t>
  </si>
  <si>
    <t>Handling_List</t>
  </si>
  <si>
    <t xml:space="preserve">Each </t>
  </si>
  <si>
    <t>Hazmat_List</t>
  </si>
  <si>
    <t>Row Labels</t>
  </si>
  <si>
    <t>Grand Total</t>
  </si>
  <si>
    <t>Sum of Weekly_Picks</t>
  </si>
  <si>
    <t>(All)</t>
  </si>
  <si>
    <t>SKU_Count</t>
  </si>
  <si>
    <t>%_of_Volume</t>
  </si>
  <si>
    <t>Category_Controlled</t>
  </si>
  <si>
    <t>Handling_Type_Controlled</t>
  </si>
  <si>
    <t>Hazmat_YN_Controlled</t>
  </si>
  <si>
    <t>Category_Lookup</t>
  </si>
  <si>
    <t>Handling_Type_Lookup</t>
  </si>
  <si>
    <t>Hazmat_YN_Lookup</t>
  </si>
  <si>
    <t>%_of_Total</t>
  </si>
  <si>
    <t>Cumulative_%</t>
  </si>
  <si>
    <t>ABC_Class</t>
  </si>
  <si>
    <t>Class</t>
  </si>
  <si>
    <t>Max %</t>
  </si>
  <si>
    <t>ABC Slotting Decisions</t>
  </si>
  <si>
    <t>A items → Fast pick zones, golden zone</t>
  </si>
  <si>
    <t>B items → Standard flow</t>
  </si>
  <si>
    <t>C items → Reserve / higher reach / deeper storage</t>
  </si>
  <si>
    <t>Slotting_Zone_Recommended</t>
  </si>
  <si>
    <t>Pick_Face_Cube</t>
  </si>
  <si>
    <t>Units_Per_Pick_Face</t>
  </si>
  <si>
    <t>Pick_Face_Utilization_%</t>
  </si>
  <si>
    <t>Pick Zone</t>
  </si>
  <si>
    <t>Reserve</t>
  </si>
  <si>
    <t>Reserve – Hazmat</t>
  </si>
  <si>
    <t>Over_Sat_Flag</t>
  </si>
  <si>
    <t>Count of SKU</t>
  </si>
  <si>
    <t>(blank)</t>
  </si>
  <si>
    <t>Column Labels</t>
  </si>
  <si>
    <t>At Capacity</t>
  </si>
  <si>
    <t>Hazmat Risk</t>
  </si>
  <si>
    <t>Over Capacity</t>
  </si>
  <si>
    <t>Hazmat Exposure Pivot</t>
  </si>
  <si>
    <t>Congestion Risk</t>
  </si>
  <si>
    <t xml:space="preserve">KPI Title </t>
  </si>
  <si>
    <t xml:space="preserve">At Capacity      </t>
  </si>
  <si>
    <t xml:space="preserve">Hazmat Risk </t>
  </si>
  <si>
    <t xml:space="preserve">Total SKUs </t>
  </si>
  <si>
    <t>% SKUs Over Capacity</t>
  </si>
  <si>
    <t>Seasonal_Flag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</si>
</sst>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2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3" fillId="0" borderId="5" xfId="0" applyFont="1" applyBorder="1" applyAlignment="1">
      <alignment wrapText="1"/>
    </xf>
    <xf numFmtId="0" fontId="3" fillId="0" borderId="5" xfId="0" quotePrefix="1" applyFont="1" applyBorder="1" applyAlignment="1">
      <alignment wrapText="1"/>
    </xf>
    <xf numFmtId="0" fontId="3" fillId="0" borderId="0" xfId="0" applyFont="1"/>
    <xf numFmtId="10" fontId="0" fillId="0" borderId="0" xfId="0" applyNumberFormat="1"/>
    <xf numFmtId="0" fontId="0" fillId="0" borderId="9" xfId="0" applyBorder="1"/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1" fillId="0" borderId="11" xfId="0" applyFont="1" applyBorder="1"/>
    <xf numFmtId="0" fontId="1" fillId="0" borderId="12" xfId="0" applyFont="1" applyBorder="1"/>
    <xf numFmtId="0" fontId="1" fillId="0" borderId="10" xfId="0" applyFont="1" applyBorder="1"/>
    <xf numFmtId="0" fontId="3" fillId="2" borderId="1" xfId="0" applyFont="1" applyFill="1" applyBorder="1"/>
    <xf numFmtId="10" fontId="1" fillId="0" borderId="12" xfId="0" applyNumberFormat="1" applyFont="1" applyBorder="1"/>
    <xf numFmtId="10" fontId="0" fillId="0" borderId="1" xfId="0" applyNumberFormat="1" applyBorder="1"/>
    <xf numFmtId="0" fontId="3" fillId="0" borderId="0" xfId="0" applyNumberFormat="1" applyFont="1"/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5" fillId="0" borderId="0" xfId="0" applyFont="1"/>
    <xf numFmtId="9" fontId="3" fillId="0" borderId="1" xfId="0" applyNumberFormat="1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/>
    <xf numFmtId="168" fontId="3" fillId="0" borderId="5" xfId="0" applyNumberFormat="1" applyFont="1" applyBorder="1"/>
    <xf numFmtId="168" fontId="3" fillId="0" borderId="1" xfId="0" applyNumberFormat="1" applyFont="1" applyBorder="1"/>
    <xf numFmtId="168" fontId="3" fillId="0" borderId="8" xfId="0" applyNumberFormat="1" applyFont="1" applyBorder="1"/>
    <xf numFmtId="168" fontId="0" fillId="0" borderId="0" xfId="0" applyNumberFormat="1"/>
    <xf numFmtId="0" fontId="1" fillId="0" borderId="0" xfId="0" pivotButton="1" applyFont="1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/>
    <xf numFmtId="10" fontId="1" fillId="0" borderId="1" xfId="0" applyNumberFormat="1" applyFont="1" applyBorder="1"/>
    <xf numFmtId="0" fontId="1" fillId="0" borderId="0" xfId="0" applyFont="1" applyAlignment="1">
      <alignment horizontal="left"/>
    </xf>
    <xf numFmtId="1" fontId="1" fillId="0" borderId="0" xfId="0" applyNumberFormat="1" applyFont="1"/>
    <xf numFmtId="10" fontId="1" fillId="0" borderId="0" xfId="0" applyNumberFormat="1" applyFont="1"/>
    <xf numFmtId="0" fontId="1" fillId="0" borderId="1" xfId="0" applyNumberFormat="1" applyFont="1" applyBorder="1"/>
    <xf numFmtId="0" fontId="1" fillId="0" borderId="1" xfId="0" pivotButton="1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5" xfId="0" pivotButton="1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" fillId="0" borderId="6" xfId="0" pivotButton="1" applyFont="1" applyBorder="1"/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3" fillId="4" borderId="1" xfId="0" applyFont="1" applyFill="1" applyBorder="1"/>
    <xf numFmtId="10" fontId="3" fillId="0" borderId="1" xfId="0" applyNumberFormat="1" applyFont="1" applyBorder="1"/>
  </cellXfs>
  <cellStyles count="1">
    <cellStyle name="Normal" xfId="0" builtinId="0"/>
  </cellStyles>
  <dxfs count="9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8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8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8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ffrey Threats" refreshedDate="46026.918356828704" createdVersion="8" refreshedVersion="8" minRefreshableVersion="3" recordCount="30" xr:uid="{C8F78F7C-95C3-40C9-B953-0A62D4111234}">
  <cacheSource type="worksheet">
    <worksheetSource name="Table1"/>
  </cacheSource>
  <cacheFields count="11">
    <cacheField name="SKU" numFmtId="0">
      <sharedItems/>
    </cacheField>
    <cacheField name="Description" numFmtId="0">
      <sharedItems/>
    </cacheField>
    <cacheField name="Weekly_Picks" numFmtId="0">
      <sharedItems containsSemiMixedTypes="0" containsString="0" containsNumber="1" containsInteger="1" minValue="30" maxValue="420"/>
    </cacheField>
    <cacheField name="Unit_Cube" numFmtId="0">
      <sharedItems containsSemiMixedTypes="0" containsString="0" containsNumber="1" minValue="0.01" maxValue="1.8"/>
    </cacheField>
    <cacheField name="Unit_Weight" numFmtId="0">
      <sharedItems containsSemiMixedTypes="0" containsString="0" containsNumber="1" minValue="0.2" maxValue="18"/>
    </cacheField>
    <cacheField name="Current_Location" numFmtId="0">
      <sharedItems/>
    </cacheField>
    <cacheField name="Pick_Zone" numFmtId="0">
      <sharedItems count="3">
        <s v="Fast"/>
        <s v="Medium"/>
        <s v="Slow"/>
      </sharedItems>
    </cacheField>
    <cacheField name="Replen_Frequency" numFmtId="0">
      <sharedItems/>
    </cacheField>
    <cacheField name="Category" numFmtId="0">
      <sharedItems containsBlank="1" count="8">
        <s v="Fasteners"/>
        <s v="Plumbing"/>
        <s v="Tools"/>
        <s v="Electrical"/>
        <s v="Safety"/>
        <s v="Paint"/>
        <s v="Sealants"/>
        <m u="1"/>
      </sharedItems>
    </cacheField>
    <cacheField name="Handling_Type" numFmtId="0">
      <sharedItems containsBlank="1" count="4">
        <s v="Each"/>
        <s v="Bulk"/>
        <s v="Case"/>
        <m u="1"/>
      </sharedItems>
    </cacheField>
    <cacheField name="Hazmat_YN" numFmtId="0">
      <sharedItems containsBlank="1" count="3">
        <s v="N"/>
        <s v="Y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ffrey Threats" refreshedDate="46027.935885185187" createdVersion="8" refreshedVersion="8" minRefreshableVersion="3" recordCount="31" xr:uid="{0246A593-BD88-4FB0-8F44-24C31FF34218}">
  <cacheSource type="worksheet">
    <worksheetSource ref="A1:U1048576" sheet="Data_Raw"/>
  </cacheSource>
  <cacheFields count="21">
    <cacheField name="SKU" numFmtId="0">
      <sharedItems containsBlank="1"/>
    </cacheField>
    <cacheField name="Description" numFmtId="0">
      <sharedItems containsBlank="1"/>
    </cacheField>
    <cacheField name="Weekly_Picks" numFmtId="0">
      <sharedItems containsString="0" containsBlank="1" containsNumber="1" containsInteger="1" minValue="30" maxValue="420"/>
    </cacheField>
    <cacheField name="Unit_Cube" numFmtId="0">
      <sharedItems containsString="0" containsBlank="1" containsNumber="1" minValue="0.01" maxValue="1.8"/>
    </cacheField>
    <cacheField name="Pick_Face_Cube" numFmtId="0">
      <sharedItems containsString="0" containsBlank="1" containsNumber="1" containsInteger="1" minValue="3" maxValue="12"/>
    </cacheField>
    <cacheField name="Units_Per_Pick_Face" numFmtId="168">
      <sharedItems containsString="0" containsBlank="1" containsNumber="1" minValue="5.5555555555555554" maxValue="300"/>
    </cacheField>
    <cacheField name="Pick_Face_Utilization_%" numFmtId="168">
      <sharedItems containsString="0" containsBlank="1" containsNumber="1" minValue="1.2" maxValue="16"/>
    </cacheField>
    <cacheField name="Over_Sat_Flag" numFmtId="168">
      <sharedItems containsBlank="1" count="4">
        <s v="Over Capacity"/>
        <s v="At Capacity"/>
        <s v="Hazmat Risk"/>
        <m/>
      </sharedItems>
    </cacheField>
    <cacheField name="Unit_Weight" numFmtId="0">
      <sharedItems containsString="0" containsBlank="1" containsNumber="1" minValue="0.2" maxValue="18"/>
    </cacheField>
    <cacheField name="Current_Location" numFmtId="0">
      <sharedItems containsBlank="1"/>
    </cacheField>
    <cacheField name="Pick_Zone" numFmtId="0">
      <sharedItems containsBlank="1" count="4">
        <s v="Fast"/>
        <s v="Medium"/>
        <s v="Slow"/>
        <m/>
      </sharedItems>
    </cacheField>
    <cacheField name="Replen_Frequency" numFmtId="0">
      <sharedItems containsBlank="1"/>
    </cacheField>
    <cacheField name="Category_Controlled" numFmtId="0">
      <sharedItems containsBlank="1"/>
    </cacheField>
    <cacheField name="Handling_Type_Controlled" numFmtId="0">
      <sharedItems containsBlank="1"/>
    </cacheField>
    <cacheField name="Hazmat_YN_Controlled" numFmtId="0">
      <sharedItems containsBlank="1" count="3">
        <s v="N"/>
        <s v="Y"/>
        <m/>
      </sharedItems>
    </cacheField>
    <cacheField name="Category_Lookup" numFmtId="0">
      <sharedItems containsBlank="1"/>
    </cacheField>
    <cacheField name="Handling_Type_Lookup" numFmtId="0">
      <sharedItems containsBlank="1"/>
    </cacheField>
    <cacheField name="Hazmat_YN_Lookup" numFmtId="0">
      <sharedItems containsBlank="1"/>
    </cacheField>
    <cacheField name="ABC_Class" numFmtId="0">
      <sharedItems containsBlank="1"/>
    </cacheField>
    <cacheField name="Slotting_Zone_Recommended" numFmtId="0">
      <sharedItems containsBlank="1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SKU-1001"/>
    <s v="Hex Bolt 1/2&quot;"/>
    <n v="420"/>
    <n v="0.02"/>
    <n v="1.2"/>
    <s v="A-01-01"/>
    <x v="0"/>
    <s v="Daily"/>
    <x v="0"/>
    <x v="0"/>
    <x v="0"/>
  </r>
  <r>
    <s v="SKU-1002"/>
    <s v="Washer 1/2&quot;"/>
    <n v="380"/>
    <n v="0.01"/>
    <n v="0.4"/>
    <s v="A-01-02"/>
    <x v="0"/>
    <s v="Daily"/>
    <x v="0"/>
    <x v="0"/>
    <x v="0"/>
  </r>
  <r>
    <s v="SKU-1010"/>
    <s v="PVC Elbow 2&quot;"/>
    <n v="140"/>
    <n v="0.15"/>
    <n v="2.5"/>
    <s v="B-03-04"/>
    <x v="1"/>
    <s v="Weekly"/>
    <x v="1"/>
    <x v="0"/>
    <x v="0"/>
  </r>
  <r>
    <s v="SKU-1022"/>
    <s v="Copper Tee 3/4&quot;"/>
    <n v="95"/>
    <n v="0.12"/>
    <n v="2.1"/>
    <s v="B-04-01"/>
    <x v="1"/>
    <s v="Weekly"/>
    <x v="1"/>
    <x v="0"/>
    <x v="0"/>
  </r>
  <r>
    <s v="SKU-1040"/>
    <s v="Tool Bag"/>
    <n v="40"/>
    <n v="0.6"/>
    <n v="6"/>
    <s v="C-07-02"/>
    <x v="2"/>
    <s v="Monthly"/>
    <x v="2"/>
    <x v="0"/>
    <x v="0"/>
  </r>
  <r>
    <s v="SKU-1051"/>
    <s v="Hex Nut 1/2&quot;"/>
    <n v="410"/>
    <n v="0.01"/>
    <n v="0.3"/>
    <s v="A-01-03"/>
    <x v="0"/>
    <s v="Daily"/>
    <x v="0"/>
    <x v="0"/>
    <x v="0"/>
  </r>
  <r>
    <s v="SKU-1058"/>
    <s v="Flat Washer 3/8&quot;"/>
    <n v="360"/>
    <n v="0.01"/>
    <n v="0.2"/>
    <s v="A-01-04"/>
    <x v="0"/>
    <s v="Daily"/>
    <x v="0"/>
    <x v="0"/>
    <x v="0"/>
  </r>
  <r>
    <s v="SKU-1065"/>
    <s v="Threaded Rod 3 ft"/>
    <n v="120"/>
    <n v="0.25"/>
    <n v="4.8"/>
    <s v="B-02-02"/>
    <x v="1"/>
    <s v="Weekly"/>
    <x v="0"/>
    <x v="0"/>
    <x v="0"/>
  </r>
  <r>
    <s v="SKU-1073"/>
    <s v="PVC Pipe 2&quot; x 10 ft"/>
    <n v="35"/>
    <n v="1.8"/>
    <n v="18"/>
    <s v="D-01-01"/>
    <x v="2"/>
    <s v="Monthly"/>
    <x v="1"/>
    <x v="1"/>
    <x v="0"/>
  </r>
  <r>
    <s v="SKU-1081"/>
    <s v="Electrical Conduit 1&quot;"/>
    <n v="90"/>
    <n v="0.75"/>
    <n v="9.5"/>
    <s v="C-03-01"/>
    <x v="1"/>
    <s v="Monthly"/>
    <x v="3"/>
    <x v="1"/>
    <x v="0"/>
  </r>
  <r>
    <s v="SKU-1090"/>
    <s v="Wire Nuts (Pack of 50)"/>
    <n v="260"/>
    <n v="0.05"/>
    <n v="1"/>
    <s v="A-02-01"/>
    <x v="0"/>
    <s v="Weekly"/>
    <x v="3"/>
    <x v="2"/>
    <x v="0"/>
  </r>
  <r>
    <s v="SKU-1097"/>
    <s v="Electrical Tape"/>
    <n v="240"/>
    <n v="0.04"/>
    <n v="0.6"/>
    <s v="A-02-02"/>
    <x v="0"/>
    <s v="Weekly"/>
    <x v="3"/>
    <x v="0"/>
    <x v="0"/>
  </r>
  <r>
    <s v="SKU-1105"/>
    <s v="Safety Gloves (L)"/>
    <n v="180"/>
    <n v="0.2"/>
    <n v="1.8"/>
    <s v="B-01-03"/>
    <x v="1"/>
    <s v="Weekly"/>
    <x v="4"/>
    <x v="2"/>
    <x v="0"/>
  </r>
  <r>
    <s v="SKU-1112"/>
    <s v="Hard Hat"/>
    <n v="75"/>
    <n v="0.9"/>
    <n v="3.2"/>
    <s v="C-04-02"/>
    <x v="1"/>
    <s v="Monthly"/>
    <x v="4"/>
    <x v="0"/>
    <x v="0"/>
  </r>
  <r>
    <s v="SKU-1120"/>
    <s v="Safety Glasses"/>
    <n v="210"/>
    <n v="0.1"/>
    <n v="0.7"/>
    <s v="A-02-03"/>
    <x v="0"/>
    <s v="Weekly"/>
    <x v="4"/>
    <x v="0"/>
    <x v="0"/>
  </r>
  <r>
    <s v="SKU-1134"/>
    <s v="Adjustable Wrench 10&quot;"/>
    <n v="65"/>
    <n v="0.45"/>
    <n v="4.5"/>
    <s v="C-05-01"/>
    <x v="2"/>
    <s v="Monthly"/>
    <x v="2"/>
    <x v="0"/>
    <x v="0"/>
  </r>
  <r>
    <s v="SKU-1141"/>
    <s v="Hammer 16 oz"/>
    <n v="85"/>
    <n v="0.35"/>
    <n v="3"/>
    <s v="B-05-02"/>
    <x v="1"/>
    <s v="Monthly"/>
    <x v="2"/>
    <x v="0"/>
    <x v="0"/>
  </r>
  <r>
    <s v="SKU-1150"/>
    <s v="Power Drill Kit"/>
    <n v="30"/>
    <n v="1.2"/>
    <n v="12"/>
    <s v="D-02-01"/>
    <x v="2"/>
    <s v="Monthly"/>
    <x v="2"/>
    <x v="2"/>
    <x v="0"/>
  </r>
  <r>
    <s v="SKU-1163"/>
    <s v="Drill Bits Set"/>
    <n v="110"/>
    <n v="0.18"/>
    <n v="2.2000000000000002"/>
    <s v="B-06-01"/>
    <x v="1"/>
    <s v="Weekly"/>
    <x v="2"/>
    <x v="2"/>
    <x v="0"/>
  </r>
  <r>
    <s v="SKU-1178"/>
    <s v="Socket Set"/>
    <n v="55"/>
    <n v="0.8"/>
    <n v="10.5"/>
    <s v="C-06-02"/>
    <x v="2"/>
    <s v="Monthly"/>
    <x v="2"/>
    <x v="2"/>
    <x v="0"/>
  </r>
  <r>
    <s v="SKU-1186"/>
    <s v="Steel Bracket"/>
    <n v="145"/>
    <n v="0.22"/>
    <n v="3.6"/>
    <s v="B-02-04"/>
    <x v="1"/>
    <s v="Weekly"/>
    <x v="0"/>
    <x v="0"/>
    <x v="0"/>
  </r>
  <r>
    <s v="SKU-1194"/>
    <s v="Lag Screw 3/8&quot;"/>
    <n v="190"/>
    <n v="0.03"/>
    <n v="1.6"/>
    <s v="A-03-01"/>
    <x v="0"/>
    <s v="Weekly"/>
    <x v="0"/>
    <x v="0"/>
    <x v="0"/>
  </r>
  <r>
    <s v="SKU-1201"/>
    <s v="Drywall Anchors"/>
    <n v="230"/>
    <n v="0.06"/>
    <n v="0.9"/>
    <s v="A-03-02"/>
    <x v="0"/>
    <s v="Weekly"/>
    <x v="0"/>
    <x v="2"/>
    <x v="0"/>
  </r>
  <r>
    <s v="SKU-1215"/>
    <s v="Paint Roller Frame"/>
    <n v="70"/>
    <n v="0.4"/>
    <n v="2.8"/>
    <s v="C-02-03"/>
    <x v="1"/>
    <s v="Monthly"/>
    <x v="5"/>
    <x v="0"/>
    <x v="0"/>
  </r>
  <r>
    <s v="SKU-1223"/>
    <s v="Paint Tray"/>
    <n v="50"/>
    <n v="0.55000000000000004"/>
    <n v="3.4"/>
    <s v="C-02-04"/>
    <x v="2"/>
    <s v="Monthly"/>
    <x v="5"/>
    <x v="0"/>
    <x v="0"/>
  </r>
  <r>
    <s v="SKU-1238"/>
    <s v="Extension Cord 25 ft"/>
    <n v="95"/>
    <n v="0.65"/>
    <n v="6.5"/>
    <s v="B-07-01"/>
    <x v="1"/>
    <s v="Monthly"/>
    <x v="3"/>
    <x v="0"/>
    <x v="0"/>
  </r>
  <r>
    <s v="SKU-1246"/>
    <s v="LED Work Light"/>
    <n v="60"/>
    <n v="0.85"/>
    <n v="7.2"/>
    <s v="C-08-01"/>
    <x v="2"/>
    <s v="Monthly"/>
    <x v="3"/>
    <x v="0"/>
    <x v="0"/>
  </r>
  <r>
    <s v="SKU-1259"/>
    <s v="Shop Rags (Pack)"/>
    <n v="160"/>
    <n v="0.3"/>
    <n v="4"/>
    <s v="B-03-02"/>
    <x v="1"/>
    <s v="Weekly"/>
    <x v="4"/>
    <x v="2"/>
    <x v="0"/>
  </r>
  <r>
    <s v="SKU-1267"/>
    <s v="Caulk Tube"/>
    <n v="175"/>
    <n v="0.12"/>
    <n v="1.4"/>
    <s v="A-04-01"/>
    <x v="0"/>
    <s v="Weekly"/>
    <x v="6"/>
    <x v="0"/>
    <x v="1"/>
  </r>
  <r>
    <s v="SKU-1275"/>
    <s v="Silicone Sealant"/>
    <n v="155"/>
    <n v="0.14000000000000001"/>
    <n v="1.6"/>
    <s v="A-04-02"/>
    <x v="0"/>
    <s v="Weekly"/>
    <x v="6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SKU-1001"/>
    <s v="Hex Bolt 1/2&quot;"/>
    <n v="420"/>
    <n v="0.02"/>
    <n v="3"/>
    <n v="150"/>
    <n v="2.8"/>
    <x v="0"/>
    <n v="1.2"/>
    <s v="A-01-01"/>
    <x v="0"/>
    <s v="Daily"/>
    <s v="Fasteners"/>
    <s v="Each"/>
    <x v="0"/>
    <s v="Fasteners"/>
    <s v="Each"/>
    <s v="N"/>
    <s v="A"/>
    <s v="Fast"/>
    <m/>
  </r>
  <r>
    <s v="SKU-1002"/>
    <s v="Washer 1/2&quot;"/>
    <n v="380"/>
    <n v="0.01"/>
    <n v="3"/>
    <n v="300"/>
    <n v="1.2666666666666666"/>
    <x v="1"/>
    <n v="0.4"/>
    <s v="A-01-02"/>
    <x v="0"/>
    <s v="Daily"/>
    <s v="Fasteners"/>
    <s v="Each"/>
    <x v="0"/>
    <s v="Fasteners"/>
    <s v="Each"/>
    <s v="N"/>
    <s v="A"/>
    <s v="Fast"/>
    <m/>
  </r>
  <r>
    <s v="SKU-1010"/>
    <s v="PVC Elbow 2&quot;"/>
    <n v="140"/>
    <n v="0.15"/>
    <n v="5"/>
    <n v="33.333333333333336"/>
    <n v="4.1999999999999993"/>
    <x v="0"/>
    <n v="2.5"/>
    <s v="B-03-04"/>
    <x v="1"/>
    <s v="Weekly"/>
    <s v="Plumbing"/>
    <s v="Each"/>
    <x v="0"/>
    <s v="Plumbing"/>
    <s v="Each"/>
    <s v="N"/>
    <s v="B"/>
    <s v="Medium"/>
    <m/>
  </r>
  <r>
    <s v="SKU-1022"/>
    <s v="Copper Tee 3/4&quot;"/>
    <n v="95"/>
    <n v="0.12"/>
    <n v="5"/>
    <n v="41.666666666666671"/>
    <n v="2.2799999999999998"/>
    <x v="0"/>
    <n v="2.1"/>
    <s v="B-04-01"/>
    <x v="1"/>
    <s v="Weekly"/>
    <s v="Plumbing"/>
    <s v="Each"/>
    <x v="0"/>
    <s v="Plumbing"/>
    <s v="Each"/>
    <s v="N"/>
    <s v="B"/>
    <s v="Medium"/>
    <m/>
  </r>
  <r>
    <s v="SKU-1040"/>
    <s v="Tool Bag"/>
    <n v="40"/>
    <n v="0.6"/>
    <n v="10"/>
    <n v="16.666666666666668"/>
    <n v="2.4"/>
    <x v="0"/>
    <n v="6"/>
    <s v="C-07-02"/>
    <x v="2"/>
    <s v="Monthly"/>
    <s v="Tools"/>
    <s v="Each"/>
    <x v="0"/>
    <s v="Tools"/>
    <s v="Each"/>
    <s v="N"/>
    <s v="C"/>
    <s v="Reserve"/>
    <m/>
  </r>
  <r>
    <s v="SKU-1051"/>
    <s v="Hex Nut 1/2&quot;"/>
    <n v="410"/>
    <n v="0.01"/>
    <n v="3"/>
    <n v="300"/>
    <n v="1.3666666666666667"/>
    <x v="1"/>
    <n v="0.3"/>
    <s v="A-01-03"/>
    <x v="0"/>
    <s v="Daily"/>
    <s v="Fasteners"/>
    <s v="Each"/>
    <x v="0"/>
    <s v="Fasteners"/>
    <s v="Each"/>
    <s v="N"/>
    <s v="A"/>
    <s v="Fast"/>
    <m/>
  </r>
  <r>
    <s v="SKU-1058"/>
    <s v="Flat Washer 3/8&quot;"/>
    <n v="360"/>
    <n v="0.01"/>
    <n v="3"/>
    <n v="300"/>
    <n v="1.2"/>
    <x v="1"/>
    <n v="0.2"/>
    <s v="A-01-04"/>
    <x v="0"/>
    <s v="Daily"/>
    <s v="Fasteners"/>
    <s v="Each"/>
    <x v="0"/>
    <s v="Fasteners"/>
    <s v="Each"/>
    <s v="N"/>
    <s v="A"/>
    <s v="Fast"/>
    <m/>
  </r>
  <r>
    <s v="SKU-1065"/>
    <s v="Threaded Rod 3 ft"/>
    <n v="120"/>
    <n v="0.25"/>
    <n v="5"/>
    <n v="20"/>
    <n v="6"/>
    <x v="0"/>
    <n v="4.8"/>
    <s v="B-02-02"/>
    <x v="1"/>
    <s v="Weekly"/>
    <s v="Fasteners"/>
    <s v="Each"/>
    <x v="0"/>
    <s v="Fasteners"/>
    <s v="Each"/>
    <s v="N"/>
    <s v="B"/>
    <s v="Medium"/>
    <m/>
  </r>
  <r>
    <s v="SKU-1073"/>
    <s v="PVC Pipe 2&quot; x 10 ft"/>
    <n v="35"/>
    <n v="1.8"/>
    <n v="10"/>
    <n v="5.5555555555555554"/>
    <n v="6.3"/>
    <x v="0"/>
    <n v="18"/>
    <s v="D-01-01"/>
    <x v="2"/>
    <s v="Monthly"/>
    <s v="Plumbing"/>
    <s v="Bulk"/>
    <x v="0"/>
    <s v="Plumbing"/>
    <s v="Bulk"/>
    <s v="N"/>
    <s v="C"/>
    <s v="Reserve"/>
    <m/>
  </r>
  <r>
    <s v="SKU-1081"/>
    <s v="Electrical Conduit 1&quot;"/>
    <n v="90"/>
    <n v="0.75"/>
    <n v="5"/>
    <n v="6.666666666666667"/>
    <n v="13.5"/>
    <x v="0"/>
    <n v="9.5"/>
    <s v="C-03-01"/>
    <x v="1"/>
    <s v="Monthly"/>
    <s v="Electrical"/>
    <s v="Bulk"/>
    <x v="0"/>
    <s v="Electrical"/>
    <s v="Bulk"/>
    <s v="N"/>
    <s v="B"/>
    <s v="Medium"/>
    <m/>
  </r>
  <r>
    <s v="SKU-1090"/>
    <s v="Wire Nuts (Pack of 50)"/>
    <n v="260"/>
    <n v="0.05"/>
    <n v="3"/>
    <n v="60"/>
    <n v="4.333333333333333"/>
    <x v="0"/>
    <n v="1"/>
    <s v="A-02-01"/>
    <x v="0"/>
    <s v="Weekly"/>
    <s v="Electrical"/>
    <s v="Case"/>
    <x v="0"/>
    <s v="Electrical"/>
    <s v="Case"/>
    <s v="N"/>
    <s v="A"/>
    <s v="Fast"/>
    <m/>
  </r>
  <r>
    <s v="SKU-1097"/>
    <s v="Electrical Tape"/>
    <n v="240"/>
    <n v="0.04"/>
    <n v="3"/>
    <n v="75"/>
    <n v="3.2"/>
    <x v="0"/>
    <n v="0.6"/>
    <s v="A-02-02"/>
    <x v="0"/>
    <s v="Weekly"/>
    <s v="Electrical"/>
    <s v="Each"/>
    <x v="0"/>
    <s v="Electrical"/>
    <s v="Each"/>
    <s v="N"/>
    <s v="A"/>
    <s v="Fast"/>
    <m/>
  </r>
  <r>
    <s v="SKU-1105"/>
    <s v="Safety Gloves (L)"/>
    <n v="180"/>
    <n v="0.2"/>
    <n v="3"/>
    <n v="15"/>
    <n v="12"/>
    <x v="0"/>
    <n v="1.8"/>
    <s v="B-01-03"/>
    <x v="1"/>
    <s v="Weekly"/>
    <s v="Safety"/>
    <s v="Case"/>
    <x v="0"/>
    <s v="Safety"/>
    <s v="Case"/>
    <s v="N"/>
    <s v="A"/>
    <s v="Fast"/>
    <m/>
  </r>
  <r>
    <s v="SKU-1112"/>
    <s v="Hard Hat"/>
    <n v="75"/>
    <n v="0.9"/>
    <n v="10"/>
    <n v="11.111111111111111"/>
    <n v="6.75"/>
    <x v="0"/>
    <n v="3.2"/>
    <s v="C-04-02"/>
    <x v="1"/>
    <s v="Monthly"/>
    <s v="Safety"/>
    <s v="Each"/>
    <x v="0"/>
    <s v="Safety"/>
    <s v="Each"/>
    <s v="N"/>
    <s v="C"/>
    <s v="Reserve"/>
    <m/>
  </r>
  <r>
    <s v="SKU-1120"/>
    <s v="Safety Glasses"/>
    <n v="210"/>
    <n v="0.1"/>
    <n v="3"/>
    <n v="30"/>
    <n v="7"/>
    <x v="0"/>
    <n v="0.7"/>
    <s v="A-02-03"/>
    <x v="0"/>
    <s v="Weekly"/>
    <s v="Safety"/>
    <s v="Each"/>
    <x v="0"/>
    <s v="Safety"/>
    <s v="Each"/>
    <s v="N"/>
    <s v="A"/>
    <s v="Fast"/>
    <m/>
  </r>
  <r>
    <s v="SKU-1134"/>
    <s v="Adjustable Wrench 10&quot;"/>
    <n v="65"/>
    <n v="0.45"/>
    <n v="10"/>
    <n v="22.222222222222221"/>
    <n v="2.9250000000000003"/>
    <x v="0"/>
    <n v="4.5"/>
    <s v="C-05-01"/>
    <x v="2"/>
    <s v="Monthly"/>
    <s v="Tools"/>
    <s v="Each"/>
    <x v="0"/>
    <s v="Tools"/>
    <s v="Each"/>
    <s v="N"/>
    <s v="C"/>
    <s v="Reserve"/>
    <m/>
  </r>
  <r>
    <s v="SKU-1141"/>
    <s v="Hammer 16 oz"/>
    <n v="85"/>
    <n v="0.35"/>
    <n v="5"/>
    <n v="14.285714285714286"/>
    <n v="5.9499999999999993"/>
    <x v="0"/>
    <n v="3"/>
    <s v="B-05-02"/>
    <x v="1"/>
    <s v="Monthly"/>
    <s v="Tools"/>
    <s v="Each"/>
    <x v="0"/>
    <s v="Tools"/>
    <s v="Each"/>
    <s v="N"/>
    <s v="B"/>
    <s v="Medium"/>
    <m/>
  </r>
  <r>
    <s v="SKU-1150"/>
    <s v="Power Drill Kit"/>
    <n v="30"/>
    <n v="1.2"/>
    <n v="10"/>
    <n v="8.3333333333333339"/>
    <n v="3.5999999999999996"/>
    <x v="0"/>
    <n v="12"/>
    <s v="D-02-01"/>
    <x v="2"/>
    <s v="Monthly"/>
    <s v="Tools"/>
    <s v="Case"/>
    <x v="0"/>
    <s v="Tools"/>
    <s v="Case"/>
    <s v="N"/>
    <s v="C"/>
    <s v="Reserve"/>
    <m/>
  </r>
  <r>
    <s v="SKU-1163"/>
    <s v="Drill Bits Set"/>
    <n v="110"/>
    <n v="0.18"/>
    <n v="5"/>
    <n v="27.777777777777779"/>
    <n v="3.96"/>
    <x v="0"/>
    <n v="2.2000000000000002"/>
    <s v="B-06-01"/>
    <x v="1"/>
    <s v="Weekly"/>
    <s v="Tools"/>
    <s v="Case"/>
    <x v="0"/>
    <s v="Tools"/>
    <s v="Case"/>
    <s v="N"/>
    <s v="B"/>
    <s v="Medium"/>
    <m/>
  </r>
  <r>
    <s v="SKU-1178"/>
    <s v="Socket Set"/>
    <n v="55"/>
    <n v="0.8"/>
    <n v="10"/>
    <n v="12.5"/>
    <n v="4.4000000000000004"/>
    <x v="0"/>
    <n v="10.5"/>
    <s v="C-06-02"/>
    <x v="2"/>
    <s v="Monthly"/>
    <s v="Tools"/>
    <s v="Case"/>
    <x v="0"/>
    <s v="Tools"/>
    <s v="Case"/>
    <s v="N"/>
    <s v="C"/>
    <s v="Reserve"/>
    <m/>
  </r>
  <r>
    <s v="SKU-1186"/>
    <s v="Steel Bracket"/>
    <n v="145"/>
    <n v="0.22"/>
    <n v="5"/>
    <n v="22.727272727272727"/>
    <n v="6.38"/>
    <x v="0"/>
    <n v="3.6"/>
    <s v="B-02-04"/>
    <x v="1"/>
    <s v="Weekly"/>
    <s v="Fasteners"/>
    <s v="Each"/>
    <x v="0"/>
    <s v="Fasteners"/>
    <s v="Each"/>
    <s v="N"/>
    <s v="B"/>
    <s v="Medium"/>
    <m/>
  </r>
  <r>
    <s v="SKU-1194"/>
    <s v="Lag Screw 3/8&quot;"/>
    <n v="190"/>
    <n v="0.03"/>
    <n v="3"/>
    <n v="100"/>
    <n v="1.9"/>
    <x v="1"/>
    <n v="1.6"/>
    <s v="A-03-01"/>
    <x v="0"/>
    <s v="Weekly"/>
    <s v="Fasteners"/>
    <s v="Each"/>
    <x v="0"/>
    <s v="Fasteners"/>
    <s v="Each"/>
    <s v="N"/>
    <s v="A"/>
    <s v="Fast"/>
    <m/>
  </r>
  <r>
    <s v="SKU-1201"/>
    <s v="Drywall Anchors"/>
    <n v="230"/>
    <n v="0.06"/>
    <n v="3"/>
    <n v="50"/>
    <n v="4.5999999999999996"/>
    <x v="0"/>
    <n v="0.9"/>
    <s v="A-03-02"/>
    <x v="0"/>
    <s v="Weekly"/>
    <s v="Fasteners"/>
    <s v="Case"/>
    <x v="0"/>
    <s v="Fasteners"/>
    <s v="Case"/>
    <s v="N"/>
    <s v="A"/>
    <s v="Fast"/>
    <m/>
  </r>
  <r>
    <s v="SKU-1215"/>
    <s v="Paint Roller Frame"/>
    <n v="70"/>
    <n v="0.4"/>
    <n v="10"/>
    <n v="25"/>
    <n v="2.8"/>
    <x v="0"/>
    <n v="2.8"/>
    <s v="C-02-03"/>
    <x v="1"/>
    <s v="Monthly"/>
    <s v="Paint"/>
    <s v="Each"/>
    <x v="0"/>
    <s v="Paint"/>
    <s v="Each"/>
    <s v="N"/>
    <s v="C"/>
    <s v="Reserve"/>
    <m/>
  </r>
  <r>
    <s v="SKU-1223"/>
    <s v="Paint Tray"/>
    <n v="50"/>
    <n v="0.55000000000000004"/>
    <n v="10"/>
    <n v="18.18181818181818"/>
    <n v="2.7500000000000004"/>
    <x v="0"/>
    <n v="3.4"/>
    <s v="C-02-04"/>
    <x v="2"/>
    <s v="Monthly"/>
    <s v="Paint"/>
    <s v="Each"/>
    <x v="0"/>
    <s v="Paint"/>
    <s v="Each"/>
    <s v="N"/>
    <s v="C"/>
    <s v="Reserve"/>
    <m/>
  </r>
  <r>
    <s v="SKU-1238"/>
    <s v="Extension Cord 25 ft"/>
    <n v="95"/>
    <n v="0.65"/>
    <n v="5"/>
    <n v="7.6923076923076916"/>
    <n v="12.350000000000001"/>
    <x v="0"/>
    <n v="6.5"/>
    <s v="B-07-01"/>
    <x v="1"/>
    <s v="Monthly"/>
    <s v="Electrical"/>
    <s v="Each"/>
    <x v="0"/>
    <s v="Electrical"/>
    <s v="Each"/>
    <s v="N"/>
    <s v="B"/>
    <s v="Medium"/>
    <m/>
  </r>
  <r>
    <s v="SKU-1246"/>
    <s v="LED Work Light"/>
    <n v="60"/>
    <n v="0.85"/>
    <n v="10"/>
    <n v="11.764705882352942"/>
    <n v="5.0999999999999996"/>
    <x v="0"/>
    <n v="7.2"/>
    <s v="C-08-01"/>
    <x v="2"/>
    <s v="Monthly"/>
    <s v="Electrical"/>
    <s v="Each"/>
    <x v="0"/>
    <s v="Electrical"/>
    <s v="Each"/>
    <s v="N"/>
    <s v="C"/>
    <s v="Reserve"/>
    <m/>
  </r>
  <r>
    <s v="SKU-1259"/>
    <s v="Shop Rags (Pack)"/>
    <n v="160"/>
    <n v="0.3"/>
    <n v="3"/>
    <n v="10"/>
    <n v="16"/>
    <x v="0"/>
    <n v="4"/>
    <s v="B-03-02"/>
    <x v="1"/>
    <s v="Weekly"/>
    <s v="Safety"/>
    <s v="Case"/>
    <x v="0"/>
    <s v="Safety"/>
    <s v="Case"/>
    <s v="N"/>
    <s v="A"/>
    <s v="Fast"/>
    <m/>
  </r>
  <r>
    <s v="SKU-1267"/>
    <s v="Caulk Tube"/>
    <n v="175"/>
    <n v="0.12"/>
    <n v="12"/>
    <n v="100"/>
    <n v="1.75"/>
    <x v="2"/>
    <n v="1.4"/>
    <s v="A-04-01"/>
    <x v="0"/>
    <s v="Weekly"/>
    <s v="Sealants"/>
    <s v="Each"/>
    <x v="1"/>
    <s v="Sealants"/>
    <s v="Each"/>
    <s v="Y"/>
    <s v="A"/>
    <s v="Reserve – Hazmat"/>
    <m/>
  </r>
  <r>
    <s v="SKU-1275"/>
    <s v="Silicone Sealant"/>
    <n v="155"/>
    <n v="0.14000000000000001"/>
    <n v="12"/>
    <n v="85.714285714285708"/>
    <n v="1.8083333333333336"/>
    <x v="2"/>
    <n v="1.6"/>
    <s v="A-04-02"/>
    <x v="0"/>
    <s v="Weekly"/>
    <s v="Sealants"/>
    <s v="Each"/>
    <x v="1"/>
    <s v="Sealants"/>
    <s v="Each"/>
    <s v="Y"/>
    <s v="B"/>
    <s v="Reserve – Hazmat"/>
    <m/>
  </r>
  <r>
    <m/>
    <m/>
    <m/>
    <m/>
    <m/>
    <m/>
    <m/>
    <x v="3"/>
    <m/>
    <m/>
    <x v="3"/>
    <m/>
    <m/>
    <m/>
    <x v="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32168-EDB4-419B-8B5A-C38E1517B506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E29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SKU" fld="0" subtotal="count" baseField="0" baseItem="0"/>
  </dataFields>
  <formats count="18">
    <format dxfId="47">
      <pivotArea field="10" dataOnly="0" grandRow="1" axis="axisRow" fieldPosition="0">
        <references count="1">
          <reference field="10" count="0"/>
        </references>
      </pivotArea>
    </format>
    <format dxfId="46">
      <pivotArea field="10" dataOnly="0" grandRow="1" axis="axisRow" fieldPosition="0">
        <references count="1">
          <reference field="10" count="0"/>
        </references>
      </pivotArea>
    </format>
    <format dxfId="45">
      <pivotArea collapsedLevelsAreSubtotals="1" fieldPosition="0">
        <references count="1">
          <reference field="10" count="0"/>
        </references>
      </pivotArea>
    </format>
    <format dxfId="44">
      <pivotArea dataOnly="0" labelOnly="1" fieldPosition="0">
        <references count="1">
          <reference field="10" count="0"/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14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10" type="button" dataOnly="0" labelOnly="1" outline="0" axis="axisRow" fieldPosition="0"/>
    </format>
    <format dxfId="34">
      <pivotArea dataOnly="0" labelOnly="1" fieldPosition="0">
        <references count="1">
          <reference field="10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1">
          <reference field="14" count="0"/>
        </references>
      </pivotArea>
    </format>
    <format dxfId="31">
      <pivotArea dataOnly="0" labelOnly="1" grandCol="1" outline="0" fieldPosition="0"/>
    </format>
    <format dxfId="6">
      <pivotArea type="topRight" dataOnly="0" labelOnly="1" outline="0" fieldPosition="0"/>
    </format>
    <format dxfId="5">
      <pivotArea type="origin" dataOnly="0" labelOnly="1" outline="0" fieldPosition="0"/>
    </format>
    <format dxfId="4">
      <pivotArea field="14" type="button" dataOnly="0" labelOnly="1" outline="0" axis="axisCol" fieldPosition="0"/>
    </format>
    <format dxfId="3">
      <pivotArea collapsedLevelsAreSubtotals="1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68865-F2BC-45D6-8446-827EC8A39DA2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F20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axis="axisRow" showAll="0">
      <items count="5">
        <item x="0"/>
        <item x="1"/>
        <item x="2"/>
        <item n="Reserve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KU" fld="0" subtotal="count" baseField="0" baseItem="0"/>
  </dataFields>
  <formats count="21">
    <format dxfId="43">
      <pivotArea collapsedLevelsAreSubtotals="1" fieldPosition="0">
        <references count="1">
          <reference field="10" count="0"/>
        </references>
      </pivotArea>
    </format>
    <format dxfId="42">
      <pivotArea dataOnly="0" labelOnly="1" fieldPosition="0">
        <references count="1">
          <reference field="10" count="0"/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type="origin" dataOnly="0" labelOnly="1" outline="0" fieldPosition="0"/>
    </format>
    <format dxfId="27">
      <pivotArea field="7" type="button" dataOnly="0" labelOnly="1" outline="0" axis="axisCol" fieldPosition="0"/>
    </format>
    <format dxfId="26">
      <pivotArea type="topRight" dataOnly="0" labelOnly="1" outline="0" fieldPosition="0"/>
    </format>
    <format dxfId="25">
      <pivotArea field="10" type="button" dataOnly="0" labelOnly="1" outline="0" axis="axisRow" fieldPosition="0"/>
    </format>
    <format dxfId="24">
      <pivotArea dataOnly="0" labelOnly="1" fieldPosition="0">
        <references count="1">
          <reference field="10" count="0"/>
        </references>
      </pivotArea>
    </format>
    <format dxfId="23">
      <pivotArea dataOnly="0" labelOnly="1" grandRow="1" outline="0" fieldPosition="0"/>
    </format>
    <format dxfId="22">
      <pivotArea dataOnly="0" labelOnly="1" fieldPosition="0">
        <references count="1">
          <reference field="7" count="0"/>
        </references>
      </pivotArea>
    </format>
    <format dxfId="21">
      <pivotArea dataOnly="0" labelOnly="1" grandCol="1" outline="0" fieldPosition="0"/>
    </format>
    <format dxfId="14">
      <pivotArea grandRow="1" outline="0" collapsedLevelsAreSubtotals="1" fieldPosition="0"/>
    </format>
    <format dxfId="13">
      <pivotArea dataOnly="0" labelOnly="1" grandRow="1" outline="0" fieldPosition="0"/>
    </format>
    <format dxfId="12">
      <pivotArea type="origin" dataOnly="0" labelOnly="1" outline="0" fieldPosition="0"/>
    </format>
    <format dxfId="11">
      <pivotArea field="7" type="button" dataOnly="0" labelOnly="1" outline="0" axis="axisCol" fieldPosition="0"/>
    </format>
    <format dxfId="10">
      <pivotArea field="10" type="button" dataOnly="0" labelOnly="1" outline="0" axis="axisRow" fieldPosition="0"/>
    </format>
    <format dxfId="9">
      <pivotArea dataOnly="0" labelOnly="1" fieldPosition="0">
        <references count="1">
          <reference field="7" count="0"/>
        </references>
      </pivotArea>
    </format>
    <format dxfId="8">
      <pivotArea dataOnly="0" labelOnly="1" grandCol="1" outline="0" fieldPosition="0"/>
    </format>
    <format dxfId="7">
      <pivotArea type="topRight" dataOnly="0" labelOnly="1" outline="0" fieldPosition="0"/>
    </format>
    <format dxfId="2">
      <pivotArea collapsedLevelsAreSubtotals="1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94654-D51B-47FA-BF4E-BA30BF04EF1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D9" firstHeaderRow="0" firstDataRow="1" firstDataCol="1" rowPageCount="3" colPageCount="1"/>
  <pivotFields count="11"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Page" multipleItemSelectionAllowed="1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axis="axisPage" showAll="0">
      <items count="5">
        <item m="1" x="3"/>
        <item x="0"/>
        <item x="1"/>
        <item x="2"/>
        <item t="default"/>
      </items>
    </pivotField>
    <pivotField axis="axisPage" showAll="0">
      <items count="4">
        <item m="1" x="2"/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8" hier="-1"/>
    <pageField fld="9" hier="-1"/>
    <pageField fld="10" hier="-1"/>
  </pageFields>
  <dataFields count="3">
    <dataField name="Sum of Weekly_Picks" fld="2" baseField="0" baseItem="0" numFmtId="1"/>
    <dataField name="SKU_Count" fld="2" subtotal="count" baseField="6" baseItem="0" numFmtId="1"/>
    <dataField name="%_of_Volume" fld="2" showDataAs="percentOfTotal" baseField="6" baseItem="0" numFmtId="10"/>
  </dataFields>
  <formats count="7">
    <format dxfId="41">
      <pivotArea dataOnly="0" fieldPosition="0">
        <references count="1">
          <reference field="6" count="0"/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6" type="button" dataOnly="0" labelOnly="1" outline="0" axis="axisRow" fieldPosition="0"/>
    </format>
    <format dxfId="17">
      <pivotArea dataOnly="0" labelOnly="1" fieldPosition="0">
        <references count="1">
          <reference field="6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68728-A42C-40A8-8EAF-2F1E44949482}" name="Table1" displayName="Table1" ref="A1:U31" totalsRowShown="0" headerRowDxfId="92" dataDxfId="90" headerRowBorderDxfId="91" tableBorderDxfId="89" totalsRowBorderDxfId="88">
  <autoFilter ref="A1:U31" xr:uid="{84568728-A42C-40A8-8EAF-2F1E44949482}"/>
  <sortState xmlns:xlrd2="http://schemas.microsoft.com/office/spreadsheetml/2017/richdata2" ref="A2:O31">
    <sortCondition ref="A1:A31"/>
  </sortState>
  <tableColumns count="21">
    <tableColumn id="1" xr3:uid="{17A22418-96B7-4E00-9C95-5DD42EFBDE04}" name="SKU" dataDxfId="87"/>
    <tableColumn id="2" xr3:uid="{D227FD91-E6D9-4851-A20D-36465C1F7C77}" name="Description" dataDxfId="86"/>
    <tableColumn id="3" xr3:uid="{1DC16B06-B164-4B9F-9C5A-52D0CBE3B3C4}" name="Weekly_Picks" dataDxfId="85"/>
    <tableColumn id="4" xr3:uid="{6EF2F851-10AC-4B00-98C0-8DDC3078D198}" name="Unit_Cube" dataDxfId="84"/>
    <tableColumn id="20" xr3:uid="{E61E819B-EBB9-45E4-AA92-DEDFADE2562F}" name="Pick_Face_Cube" dataDxfId="51">
      <calculatedColumnFormula>IFERROR(VLOOKUP(Table1[[#This Row],[Slotting_Zone_Recommended]],LEGEND!$L$2:$M$5,2,FALSE),"")</calculatedColumnFormula>
    </tableColumn>
    <tableColumn id="19" xr3:uid="{2D3B38F3-48A3-4E7A-94B9-8B4E9EF744A9}" name="Units_Per_Pick_Face" dataDxfId="49">
      <calculatedColumnFormula>IFERROR(E2/D2,0)</calculatedColumnFormula>
    </tableColumn>
    <tableColumn id="18" xr3:uid="{9914E772-9135-4C32-9EB2-66C741D12ABB}" name="Pick_Face_Utilization_%" dataDxfId="50">
      <calculatedColumnFormula>IFERROR(C2/F2,0)</calculatedColumnFormula>
    </tableColumn>
    <tableColumn id="21" xr3:uid="{502FC73B-55B9-4830-919A-3B159C5EE93E}" name="Over_Sat_Flag" dataDxfId="48">
      <calculatedColumnFormula>IF(AND(G2&gt;1,O2="Y"),"Hazmat Risk",
 IF(G2&gt;2,"Over Capacity",
 IF(G2&gt;=1,"At Capacity","Within Limits")))</calculatedColumnFormula>
    </tableColumn>
    <tableColumn id="5" xr3:uid="{66E861F6-5BA3-4E99-9C1B-F0CECA822BED}" name="Unit_Weight" dataDxfId="83"/>
    <tableColumn id="6" xr3:uid="{9DBF5F33-248B-46B6-ABCA-1FBBA7F15DD9}" name="Current_Location" dataDxfId="82"/>
    <tableColumn id="7" xr3:uid="{E9C7B0BA-86FB-4FE8-9A3E-8A48D85603FD}" name="Pick_Zone" dataDxfId="81"/>
    <tableColumn id="8" xr3:uid="{030D9123-FBCF-408D-8345-12AF8B668CE7}" name="Replen_Frequency" dataDxfId="80"/>
    <tableColumn id="9" xr3:uid="{BA86E0E7-F9C9-4ED8-9953-B3AE336C342C}" name="Category_Controlled" dataDxfId="79"/>
    <tableColumn id="10" xr3:uid="{EFEBC13A-4E4E-41AA-A53C-C8D3D19A84AD}" name="Handling_Type_Controlled" dataDxfId="78"/>
    <tableColumn id="11" xr3:uid="{9489678B-12DF-4F60-A601-3F08879260DE}" name="Hazmat_YN_Controlled" dataDxfId="77"/>
    <tableColumn id="13" xr3:uid="{4169ECB7-D375-4B85-AAC5-1A38DEA01E8D}" name="Category_Lookup" dataDxfId="76">
      <calculatedColumnFormula>VLOOKUP(A2, 'Calculations 1'!$A$2:$D$31, 2, FALSE)</calculatedColumnFormula>
    </tableColumn>
    <tableColumn id="14" xr3:uid="{1D1D7ABE-1B73-460A-B288-5EC92A233D43}" name="Handling_Type_Lookup" dataDxfId="75">
      <calculatedColumnFormula>VLOOKUP(A2, 'Calculations 1'!$A$2:$D$31, 3, FALSE)</calculatedColumnFormula>
    </tableColumn>
    <tableColumn id="15" xr3:uid="{BBE6AB3E-3A02-4A31-B19A-D76394D9388A}" name="Hazmat_YN_Lookup" dataDxfId="74">
      <calculatedColumnFormula>VLOOKUP(A2, 'Calculations 1'!$A$2:$D$31, 4, FALSE)</calculatedColumnFormula>
    </tableColumn>
    <tableColumn id="12" xr3:uid="{AD34883C-0806-4F2D-81EA-843861DBCCDB}" name="ABC_Class" dataDxfId="53">
      <calculatedColumnFormula>VLOOKUP(Table1[[#This Row],[SKU]],'Calculations 2'!$A$2:$E$31,5,FALSE)</calculatedColumnFormula>
    </tableColumn>
    <tableColumn id="16" xr3:uid="{8E3E7864-4C8D-4CD3-93A6-0FCA9DC36556}" name="Slotting_Zone_Recommended" dataDxfId="52">
      <calculatedColumnFormula>IF(R2="Y","Reserve – Hazmat",IF(S2="A","Fast",IF(S2="B","Medium","Reserve")))</calculatedColumnFormula>
    </tableColumn>
    <tableColumn id="17" xr3:uid="{8249D457-4652-4409-9DA8-54DAE8463A6E}" name="Seasonal_Flag" dataDxfId="0">
      <calculatedColumnFormula>IF(AND(O2="N",G2&gt;5,OR(K2="Slow",K2="Medium"),L2&lt;&gt;"Daily"),"Seasonal / Temporary","Core")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66869-6D60-49F9-9892-BCEF42FFBA89}" name="tblSKU" displayName="tblSKU" ref="A1:G31" totalsRowShown="0" headerRowDxfId="65" headerRowBorderDxfId="72" tableBorderDxfId="73" totalsRowBorderDxfId="71">
  <autoFilter ref="A1:G31" xr:uid="{F1F66869-6D60-49F9-9892-BCEF42FFBA89}"/>
  <tableColumns count="7">
    <tableColumn id="1" xr3:uid="{613B7E77-6FBE-4998-B3B8-BC495FC54219}" name="SKU" dataDxfId="70"/>
    <tableColumn id="2" xr3:uid="{58B2F20C-50F1-4462-9B32-24D808F1D8D7}" name="Category" dataDxfId="69"/>
    <tableColumn id="3" xr3:uid="{AD82622C-2807-46DE-BCF5-A1C13444E5B2}" name="Handling_Type" dataDxfId="68"/>
    <tableColumn id="4" xr3:uid="{E37B9BB9-D046-4DFA-A9EB-B9E0E9D3D7B9}" name="Hazmat_YN" dataDxfId="67"/>
    <tableColumn id="5" xr3:uid="{91CA4ECE-2674-4EA1-992A-27993B9DB0DA}" name="Weekly_Picks" dataDxfId="64"/>
    <tableColumn id="6" xr3:uid="{5E31CC2D-1952-4712-9298-D34332F940EA}" name="%_of_Total" dataDxfId="63"/>
    <tableColumn id="7" xr3:uid="{75BADDFA-235B-477D-BE5F-0230B5D1E055}" name="Cumulative_%" dataDxfId="6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48A4FC-4945-4930-B76A-A0748BC192F5}" name="tblSKU4" displayName="tblSKU4" ref="A1:E31" totalsRowShown="0" headerRowDxfId="62" headerRowBorderDxfId="60" tableBorderDxfId="61" totalsRowBorderDxfId="59">
  <autoFilter ref="A1:E31" xr:uid="{F1F66869-6D60-49F9-9892-BCEF42FFBA89}"/>
  <sortState xmlns:xlrd2="http://schemas.microsoft.com/office/spreadsheetml/2017/richdata2" ref="A2:E31">
    <sortCondition descending="1" ref="B1:B31"/>
  </sortState>
  <tableColumns count="5">
    <tableColumn id="1" xr3:uid="{DEA2ED2D-BF62-4B08-B832-7EB09D1408FC}" name="SKU" dataDxfId="58"/>
    <tableColumn id="5" xr3:uid="{DEA01A81-C8B2-40D5-91C8-0E7314188BF8}" name="Weekly_Picks" dataDxfId="57">
      <calculatedColumnFormula>VLOOKUP(A2,Data_Raw!$A:$C,3,FALSE)</calculatedColumnFormula>
    </tableColumn>
    <tableColumn id="6" xr3:uid="{D0BED04B-B0A0-40FC-A353-D12A7D8CA2CE}" name="%_of_Total" dataDxfId="56">
      <calculatedColumnFormula>B2/SUM($B$2:$B$31)</calculatedColumnFormula>
    </tableColumn>
    <tableColumn id="7" xr3:uid="{E95037CD-7D52-4255-A39A-7C4C59E2FA4E}" name="Cumulative_%" dataDxfId="55">
      <calculatedColumnFormula>SUM($C$2:C2)</calculatedColumnFormula>
    </tableColumn>
    <tableColumn id="8" xr3:uid="{36CEB455-45E7-4B9C-ABBF-C5F7A51634B3}" name="ABC_Class" dataDxfId="54">
      <calculatedColumnFormula>IF(D2&lt;=0.7,"A",IF(D2&lt;=0.9,"B","C"))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20A3-BC3D-4310-85D5-ACFED052FF80}">
  <dimension ref="A1:M12"/>
  <sheetViews>
    <sheetView tabSelected="1" workbookViewId="0">
      <selection activeCell="O5" sqref="O5"/>
    </sheetView>
  </sheetViews>
  <sheetFormatPr defaultRowHeight="14.4" x14ac:dyDescent="0.3"/>
  <cols>
    <col min="1" max="1" width="9.88671875" bestFit="1" customWidth="1"/>
    <col min="2" max="2" width="18.44140625" bestFit="1" customWidth="1"/>
    <col min="4" max="5" width="16.21875" bestFit="1" customWidth="1"/>
    <col min="6" max="6" width="14.6640625" bestFit="1" customWidth="1"/>
    <col min="8" max="8" width="5.77734375" bestFit="1" customWidth="1"/>
    <col min="9" max="9" width="6" bestFit="1" customWidth="1"/>
    <col min="10" max="10" width="47.33203125" bestFit="1" customWidth="1"/>
    <col min="12" max="12" width="9.6640625" bestFit="1" customWidth="1"/>
    <col min="13" max="13" width="20.5546875" customWidth="1"/>
  </cols>
  <sheetData>
    <row r="1" spans="1:13" s="38" customFormat="1" ht="36" x14ac:dyDescent="0.35">
      <c r="A1" s="35" t="s">
        <v>0</v>
      </c>
      <c r="B1" s="35" t="s">
        <v>1</v>
      </c>
      <c r="D1" s="35" t="s">
        <v>129</v>
      </c>
      <c r="E1" s="35" t="s">
        <v>130</v>
      </c>
      <c r="F1" s="35" t="s">
        <v>132</v>
      </c>
      <c r="H1" s="39" t="s">
        <v>148</v>
      </c>
      <c r="I1" s="39" t="s">
        <v>149</v>
      </c>
      <c r="J1" s="35" t="s">
        <v>150</v>
      </c>
      <c r="L1" s="39" t="s">
        <v>158</v>
      </c>
      <c r="M1" s="39" t="s">
        <v>155</v>
      </c>
    </row>
    <row r="2" spans="1:13" ht="15.6" x14ac:dyDescent="0.3">
      <c r="A2" s="2" t="s">
        <v>2</v>
      </c>
      <c r="B2" s="2" t="s">
        <v>3</v>
      </c>
      <c r="C2" s="36"/>
      <c r="D2" s="2" t="s">
        <v>117</v>
      </c>
      <c r="E2" s="2" t="s">
        <v>131</v>
      </c>
      <c r="F2" s="2" t="s">
        <v>119</v>
      </c>
      <c r="G2" s="36"/>
      <c r="H2" s="34" t="s">
        <v>2</v>
      </c>
      <c r="I2" s="37">
        <v>0.7</v>
      </c>
      <c r="J2" s="2" t="s">
        <v>151</v>
      </c>
      <c r="K2" s="36"/>
      <c r="L2" s="34" t="s">
        <v>21</v>
      </c>
      <c r="M2" s="34">
        <v>3</v>
      </c>
    </row>
    <row r="3" spans="1:13" ht="15.6" x14ac:dyDescent="0.3">
      <c r="A3" s="2" t="s">
        <v>4</v>
      </c>
      <c r="B3" s="2" t="s">
        <v>5</v>
      </c>
      <c r="C3" s="36"/>
      <c r="D3" s="2" t="s">
        <v>120</v>
      </c>
      <c r="E3" s="2" t="s">
        <v>124</v>
      </c>
      <c r="F3" s="2" t="s">
        <v>128</v>
      </c>
      <c r="G3" s="36"/>
      <c r="H3" s="34" t="s">
        <v>4</v>
      </c>
      <c r="I3" s="37">
        <v>0.9</v>
      </c>
      <c r="J3" s="2" t="s">
        <v>152</v>
      </c>
      <c r="K3" s="36"/>
      <c r="L3" s="34" t="s">
        <v>29</v>
      </c>
      <c r="M3" s="34">
        <v>5</v>
      </c>
    </row>
    <row r="4" spans="1:13" ht="15.6" x14ac:dyDescent="0.3">
      <c r="A4" s="2" t="s">
        <v>6</v>
      </c>
      <c r="B4" s="2" t="s">
        <v>7</v>
      </c>
      <c r="C4" s="36"/>
      <c r="D4" s="2" t="s">
        <v>121</v>
      </c>
      <c r="E4" s="2" t="s">
        <v>122</v>
      </c>
      <c r="F4" s="2"/>
      <c r="G4" s="36"/>
      <c r="H4" s="34" t="s">
        <v>6</v>
      </c>
      <c r="I4" s="37">
        <v>1</v>
      </c>
      <c r="J4" s="2" t="s">
        <v>153</v>
      </c>
      <c r="K4" s="36"/>
      <c r="L4" s="34" t="s">
        <v>159</v>
      </c>
      <c r="M4" s="34">
        <v>10</v>
      </c>
    </row>
    <row r="5" spans="1:13" ht="31.2" x14ac:dyDescent="0.3">
      <c r="A5" s="2" t="s">
        <v>8</v>
      </c>
      <c r="B5" s="2" t="s">
        <v>9</v>
      </c>
      <c r="C5" s="36"/>
      <c r="D5" s="6" t="s">
        <v>123</v>
      </c>
      <c r="E5" s="21"/>
      <c r="F5" s="21"/>
      <c r="G5" s="36"/>
      <c r="H5" s="36"/>
      <c r="I5" s="36"/>
      <c r="J5" s="36"/>
      <c r="K5" s="36"/>
      <c r="L5" s="34" t="s">
        <v>160</v>
      </c>
      <c r="M5" s="34">
        <v>12</v>
      </c>
    </row>
    <row r="6" spans="1:13" ht="15.6" x14ac:dyDescent="0.3">
      <c r="A6" s="2" t="s">
        <v>10</v>
      </c>
      <c r="B6" s="2" t="s">
        <v>11</v>
      </c>
      <c r="C6" s="36"/>
      <c r="D6" s="2" t="s">
        <v>125</v>
      </c>
      <c r="E6" s="21"/>
      <c r="F6" s="21"/>
      <c r="G6" s="36"/>
      <c r="H6" s="36"/>
      <c r="I6" s="36"/>
      <c r="J6" s="36"/>
      <c r="K6" s="36"/>
      <c r="L6" s="36"/>
      <c r="M6" s="36"/>
    </row>
    <row r="7" spans="1:13" ht="15.6" x14ac:dyDescent="0.3">
      <c r="A7" s="2" t="s">
        <v>12</v>
      </c>
      <c r="B7" s="2" t="s">
        <v>13</v>
      </c>
      <c r="C7" s="36"/>
      <c r="D7" s="2" t="s">
        <v>126</v>
      </c>
      <c r="E7" s="21"/>
      <c r="F7" s="21"/>
      <c r="G7" s="36"/>
      <c r="H7" s="36"/>
      <c r="I7" s="36"/>
      <c r="J7" s="36"/>
      <c r="K7" s="36"/>
      <c r="L7" s="36"/>
      <c r="M7" s="36"/>
    </row>
    <row r="8" spans="1:13" ht="15.6" x14ac:dyDescent="0.3">
      <c r="A8" s="2" t="s">
        <v>14</v>
      </c>
      <c r="B8" s="2" t="s">
        <v>15</v>
      </c>
      <c r="C8" s="36"/>
      <c r="D8" s="2" t="s">
        <v>127</v>
      </c>
      <c r="E8" s="21"/>
      <c r="F8" s="21"/>
      <c r="G8" s="36"/>
      <c r="H8" s="36"/>
      <c r="I8" s="36"/>
      <c r="J8" s="36"/>
      <c r="K8" s="36"/>
      <c r="L8" s="36"/>
      <c r="M8" s="36"/>
    </row>
    <row r="9" spans="1:13" ht="15.6" x14ac:dyDescent="0.3">
      <c r="A9" s="2" t="s">
        <v>16</v>
      </c>
      <c r="B9" s="2" t="s">
        <v>17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</row>
    <row r="10" spans="1:13" ht="15.6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</row>
    <row r="11" spans="1:13" ht="15.6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ht="15.6" x14ac:dyDescent="0.3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E63D-1871-462F-8F8D-873620F8FF86}">
  <dimension ref="A1:U31"/>
  <sheetViews>
    <sheetView zoomScale="85" zoomScaleNormal="85" workbookViewId="0">
      <selection activeCell="G2" sqref="G2"/>
    </sheetView>
  </sheetViews>
  <sheetFormatPr defaultColWidth="15.88671875" defaultRowHeight="14.4" x14ac:dyDescent="0.3"/>
  <cols>
    <col min="1" max="1" width="10.44140625" bestFit="1" customWidth="1"/>
    <col min="2" max="2" width="23" bestFit="1" customWidth="1"/>
    <col min="3" max="3" width="17.109375" bestFit="1" customWidth="1"/>
    <col min="4" max="4" width="13.44140625" bestFit="1" customWidth="1"/>
    <col min="5" max="5" width="19.6640625" bestFit="1" customWidth="1"/>
    <col min="6" max="6" width="24.109375" style="44" bestFit="1" customWidth="1"/>
    <col min="7" max="7" width="27.6640625" style="44" bestFit="1" customWidth="1"/>
    <col min="8" max="8" width="27.6640625" style="44" customWidth="1"/>
    <col min="9" max="9" width="15.109375" bestFit="1" customWidth="1"/>
    <col min="10" max="10" width="20.21875" bestFit="1" customWidth="1"/>
    <col min="11" max="11" width="13.44140625" bestFit="1" customWidth="1"/>
    <col min="12" max="12" width="21.33203125" bestFit="1" customWidth="1"/>
    <col min="13" max="13" width="23.33203125" bestFit="1" customWidth="1"/>
    <col min="14" max="14" width="28.88671875" bestFit="1" customWidth="1"/>
    <col min="15" max="15" width="26" bestFit="1" customWidth="1"/>
    <col min="16" max="16" width="20.109375" bestFit="1" customWidth="1"/>
    <col min="17" max="17" width="25.44140625" bestFit="1" customWidth="1"/>
    <col min="18" max="18" width="22.44140625" bestFit="1" customWidth="1"/>
    <col min="19" max="19" width="14" bestFit="1" customWidth="1"/>
    <col min="20" max="20" width="32.33203125" bestFit="1" customWidth="1"/>
    <col min="21" max="21" width="31" bestFit="1" customWidth="1"/>
  </cols>
  <sheetData>
    <row r="1" spans="1:21" ht="15.6" x14ac:dyDescent="0.3">
      <c r="A1" s="5" t="s">
        <v>3</v>
      </c>
      <c r="B1" s="6" t="s">
        <v>5</v>
      </c>
      <c r="C1" s="6" t="s">
        <v>7</v>
      </c>
      <c r="D1" s="6" t="s">
        <v>9</v>
      </c>
      <c r="E1" s="6" t="s">
        <v>155</v>
      </c>
      <c r="F1" s="41" t="s">
        <v>156</v>
      </c>
      <c r="G1" s="41" t="s">
        <v>157</v>
      </c>
      <c r="H1" s="41" t="s">
        <v>161</v>
      </c>
      <c r="I1" s="6" t="s">
        <v>11</v>
      </c>
      <c r="J1" s="6" t="s">
        <v>13</v>
      </c>
      <c r="K1" s="6" t="s">
        <v>15</v>
      </c>
      <c r="L1" s="7" t="s">
        <v>17</v>
      </c>
      <c r="M1" s="19" t="s">
        <v>139</v>
      </c>
      <c r="N1" s="19" t="s">
        <v>140</v>
      </c>
      <c r="O1" s="19" t="s">
        <v>141</v>
      </c>
      <c r="P1" s="19" t="s">
        <v>142</v>
      </c>
      <c r="Q1" s="19" t="s">
        <v>143</v>
      </c>
      <c r="R1" s="19" t="s">
        <v>144</v>
      </c>
      <c r="S1" s="6" t="s">
        <v>147</v>
      </c>
      <c r="T1" s="6" t="s">
        <v>154</v>
      </c>
      <c r="U1" s="6" t="s">
        <v>175</v>
      </c>
    </row>
    <row r="2" spans="1:21" ht="15.6" x14ac:dyDescent="0.3">
      <c r="A2" s="3" t="s">
        <v>18</v>
      </c>
      <c r="B2" s="2" t="s">
        <v>19</v>
      </c>
      <c r="C2" s="2">
        <v>420</v>
      </c>
      <c r="D2" s="2">
        <v>0.02</v>
      </c>
      <c r="E2" s="2">
        <f>IFERROR(VLOOKUP(Table1[[#This Row],[Slotting_Zone_Recommended]],LEGEND!$L$2:$M$5,2,FALSE),"")</f>
        <v>3</v>
      </c>
      <c r="F2" s="42">
        <f t="shared" ref="F2:F31" si="0">IFERROR(E2/D2,0)</f>
        <v>150</v>
      </c>
      <c r="G2" s="42">
        <f t="shared" ref="G2:G31" si="1">IFERROR(C2/F2,0)</f>
        <v>2.8</v>
      </c>
      <c r="H2" s="42" t="str">
        <f t="shared" ref="H2:H31" si="2">IF(AND(G2&gt;1,O2="Y"),"Hazmat Risk",
 IF(G2&gt;2,"Over Capacity",
 IF(G2&gt;=1,"At Capacity","Within Limits")))</f>
        <v>Over Capacity</v>
      </c>
      <c r="I2" s="2">
        <v>1.2</v>
      </c>
      <c r="J2" s="2" t="s">
        <v>20</v>
      </c>
      <c r="K2" s="2" t="s">
        <v>21</v>
      </c>
      <c r="L2" s="4" t="s">
        <v>22</v>
      </c>
      <c r="M2" s="20" t="s">
        <v>117</v>
      </c>
      <c r="N2" s="1" t="s">
        <v>118</v>
      </c>
      <c r="O2" s="12" t="s">
        <v>119</v>
      </c>
      <c r="P2" s="6" t="str">
        <f>VLOOKUP(A2, 'Calculations 1'!$A$2:$D$31, 2, FALSE)</f>
        <v>Fasteners</v>
      </c>
      <c r="Q2" s="21" t="str">
        <f>VLOOKUP(A2, 'Calculations 1'!$A$2:$D$31, 3, FALSE)</f>
        <v>Each</v>
      </c>
      <c r="R2" s="21" t="str">
        <f>VLOOKUP(A2, 'Calculations 1'!$A$2:$D$31, 4, FALSE)</f>
        <v>N</v>
      </c>
      <c r="S2" s="21" t="str">
        <f>VLOOKUP(Table1[[#This Row],[SKU]],'Calculations 2'!$A$2:$E$31,5,FALSE)</f>
        <v>A</v>
      </c>
      <c r="T2" s="33" t="str">
        <f t="shared" ref="T2:T31" si="3">IF(R2="Y","Reserve – Hazmat",IF(S2="A","Fast",IF(S2="B","Medium","Reserve")))</f>
        <v>Fast</v>
      </c>
      <c r="U2" s="33" t="str">
        <f>IF(AND(O2="N",G2&gt;5,OR(K2="Slow",K2="Medium"),L2&lt;&gt;"Daily"),"Seasonal / Temporary","Core")</f>
        <v>Core</v>
      </c>
    </row>
    <row r="3" spans="1:21" ht="15.6" x14ac:dyDescent="0.3">
      <c r="A3" s="3" t="s">
        <v>23</v>
      </c>
      <c r="B3" s="2" t="s">
        <v>24</v>
      </c>
      <c r="C3" s="2">
        <v>380</v>
      </c>
      <c r="D3" s="2">
        <v>0.01</v>
      </c>
      <c r="E3" s="2">
        <f>IFERROR(VLOOKUP(Table1[[#This Row],[Slotting_Zone_Recommended]],LEGEND!$L$2:$M$5,2,FALSE),"")</f>
        <v>3</v>
      </c>
      <c r="F3" s="42">
        <f t="shared" si="0"/>
        <v>300</v>
      </c>
      <c r="G3" s="42">
        <f t="shared" si="1"/>
        <v>1.2666666666666666</v>
      </c>
      <c r="H3" s="42" t="str">
        <f t="shared" si="2"/>
        <v>At Capacity</v>
      </c>
      <c r="I3" s="2">
        <v>0.4</v>
      </c>
      <c r="J3" s="2" t="s">
        <v>25</v>
      </c>
      <c r="K3" s="2" t="s">
        <v>21</v>
      </c>
      <c r="L3" s="4" t="s">
        <v>22</v>
      </c>
      <c r="M3" s="2" t="s">
        <v>117</v>
      </c>
      <c r="N3" s="1" t="s">
        <v>118</v>
      </c>
      <c r="O3" s="12" t="s">
        <v>119</v>
      </c>
      <c r="P3" s="2" t="str">
        <f>VLOOKUP(A3, 'Calculations 1'!$A$2:$D$31, 2, FALSE)</f>
        <v>Fasteners</v>
      </c>
      <c r="Q3" s="21" t="str">
        <f>VLOOKUP(A3, 'Calculations 1'!$A$2:$D$31, 3, FALSE)</f>
        <v>Each</v>
      </c>
      <c r="R3" s="21" t="str">
        <f>VLOOKUP(A3, 'Calculations 1'!$A$2:$D$31, 4, FALSE)</f>
        <v>N</v>
      </c>
      <c r="S3" s="21" t="str">
        <f>VLOOKUP(Table1[[#This Row],[SKU]],'Calculations 2'!$A$2:$E$31,5,FALSE)</f>
        <v>A</v>
      </c>
      <c r="T3" s="33" t="str">
        <f t="shared" si="3"/>
        <v>Fast</v>
      </c>
      <c r="U3" s="33" t="str">
        <f t="shared" ref="U3:U31" si="4">IF(AND(O3="N",G3&gt;5,OR(K3="Slow",K3="Medium"),L3&lt;&gt;"Daily"),"Seasonal / Temporary","Core")</f>
        <v>Core</v>
      </c>
    </row>
    <row r="4" spans="1:21" ht="15.6" x14ac:dyDescent="0.3">
      <c r="A4" s="3" t="s">
        <v>26</v>
      </c>
      <c r="B4" s="2" t="s">
        <v>27</v>
      </c>
      <c r="C4" s="2">
        <v>140</v>
      </c>
      <c r="D4" s="2">
        <v>0.15</v>
      </c>
      <c r="E4" s="2">
        <f>IFERROR(VLOOKUP(Table1[[#This Row],[Slotting_Zone_Recommended]],LEGEND!$L$2:$M$5,2,FALSE),"")</f>
        <v>5</v>
      </c>
      <c r="F4" s="42">
        <f t="shared" si="0"/>
        <v>33.333333333333336</v>
      </c>
      <c r="G4" s="42">
        <f t="shared" si="1"/>
        <v>4.1999999999999993</v>
      </c>
      <c r="H4" s="42" t="str">
        <f t="shared" si="2"/>
        <v>Over Capacity</v>
      </c>
      <c r="I4" s="2">
        <v>2.5</v>
      </c>
      <c r="J4" s="2" t="s">
        <v>28</v>
      </c>
      <c r="K4" s="2" t="s">
        <v>29</v>
      </c>
      <c r="L4" s="4" t="s">
        <v>30</v>
      </c>
      <c r="M4" s="2" t="s">
        <v>120</v>
      </c>
      <c r="N4" s="1" t="s">
        <v>118</v>
      </c>
      <c r="O4" s="12" t="s">
        <v>119</v>
      </c>
      <c r="P4" s="2" t="str">
        <f>VLOOKUP(A4, 'Calculations 1'!$A$2:$D$31, 2, FALSE)</f>
        <v>Plumbing</v>
      </c>
      <c r="Q4" s="21" t="str">
        <f>VLOOKUP(A4, 'Calculations 1'!$A$2:$D$31, 3, FALSE)</f>
        <v>Each</v>
      </c>
      <c r="R4" s="21" t="str">
        <f>VLOOKUP(A4, 'Calculations 1'!$A$2:$D$31, 4, FALSE)</f>
        <v>N</v>
      </c>
      <c r="S4" s="21" t="str">
        <f>VLOOKUP(Table1[[#This Row],[SKU]],'Calculations 2'!$A$2:$E$31,5,FALSE)</f>
        <v>B</v>
      </c>
      <c r="T4" s="33" t="str">
        <f t="shared" si="3"/>
        <v>Medium</v>
      </c>
      <c r="U4" s="33" t="str">
        <f t="shared" si="4"/>
        <v>Core</v>
      </c>
    </row>
    <row r="5" spans="1:21" ht="15.6" x14ac:dyDescent="0.3">
      <c r="A5" s="3" t="s">
        <v>31</v>
      </c>
      <c r="B5" s="2" t="s">
        <v>32</v>
      </c>
      <c r="C5" s="2">
        <v>95</v>
      </c>
      <c r="D5" s="2">
        <v>0.12</v>
      </c>
      <c r="E5" s="2">
        <f>IFERROR(VLOOKUP(Table1[[#This Row],[Slotting_Zone_Recommended]],LEGEND!$L$2:$M$5,2,FALSE),"")</f>
        <v>5</v>
      </c>
      <c r="F5" s="42">
        <f t="shared" si="0"/>
        <v>41.666666666666671</v>
      </c>
      <c r="G5" s="42">
        <f t="shared" si="1"/>
        <v>2.2799999999999998</v>
      </c>
      <c r="H5" s="42" t="str">
        <f t="shared" si="2"/>
        <v>Over Capacity</v>
      </c>
      <c r="I5" s="2">
        <v>2.1</v>
      </c>
      <c r="J5" s="2" t="s">
        <v>33</v>
      </c>
      <c r="K5" s="2" t="s">
        <v>29</v>
      </c>
      <c r="L5" s="4" t="s">
        <v>30</v>
      </c>
      <c r="M5" s="2" t="s">
        <v>120</v>
      </c>
      <c r="N5" s="1" t="s">
        <v>118</v>
      </c>
      <c r="O5" s="12" t="s">
        <v>119</v>
      </c>
      <c r="P5" s="2" t="str">
        <f>VLOOKUP(A5, 'Calculations 1'!$A$2:$D$31, 2, FALSE)</f>
        <v>Plumbing</v>
      </c>
      <c r="Q5" s="21" t="str">
        <f>VLOOKUP(A5, 'Calculations 1'!$A$2:$D$31, 3, FALSE)</f>
        <v>Each</v>
      </c>
      <c r="R5" s="21" t="str">
        <f>VLOOKUP(A5, 'Calculations 1'!$A$2:$D$31, 4, FALSE)</f>
        <v>N</v>
      </c>
      <c r="S5" s="21" t="str">
        <f>VLOOKUP(Table1[[#This Row],[SKU]],'Calculations 2'!$A$2:$E$31,5,FALSE)</f>
        <v>B</v>
      </c>
      <c r="T5" s="33" t="str">
        <f t="shared" si="3"/>
        <v>Medium</v>
      </c>
      <c r="U5" s="33" t="str">
        <f t="shared" si="4"/>
        <v>Core</v>
      </c>
    </row>
    <row r="6" spans="1:21" ht="15.6" x14ac:dyDescent="0.3">
      <c r="A6" s="3" t="s">
        <v>34</v>
      </c>
      <c r="B6" s="2" t="s">
        <v>35</v>
      </c>
      <c r="C6" s="2">
        <v>40</v>
      </c>
      <c r="D6" s="2">
        <v>0.6</v>
      </c>
      <c r="E6" s="2">
        <f>IFERROR(VLOOKUP(Table1[[#This Row],[Slotting_Zone_Recommended]],LEGEND!$L$2:$M$5,2,FALSE),"")</f>
        <v>10</v>
      </c>
      <c r="F6" s="42">
        <f t="shared" si="0"/>
        <v>16.666666666666668</v>
      </c>
      <c r="G6" s="42">
        <f t="shared" si="1"/>
        <v>2.4</v>
      </c>
      <c r="H6" s="42" t="str">
        <f t="shared" si="2"/>
        <v>Over Capacity</v>
      </c>
      <c r="I6" s="2">
        <v>6</v>
      </c>
      <c r="J6" s="2" t="s">
        <v>36</v>
      </c>
      <c r="K6" s="2" t="s">
        <v>37</v>
      </c>
      <c r="L6" s="4" t="s">
        <v>38</v>
      </c>
      <c r="M6" s="2" t="s">
        <v>121</v>
      </c>
      <c r="N6" s="1" t="s">
        <v>118</v>
      </c>
      <c r="O6" s="12" t="s">
        <v>119</v>
      </c>
      <c r="P6" s="2" t="str">
        <f>VLOOKUP(A6, 'Calculations 1'!$A$2:$D$31, 2, FALSE)</f>
        <v>Tools</v>
      </c>
      <c r="Q6" s="21" t="str">
        <f>VLOOKUP(A6, 'Calculations 1'!$A$2:$D$31, 3, FALSE)</f>
        <v>Each</v>
      </c>
      <c r="R6" s="21" t="str">
        <f>VLOOKUP(A6, 'Calculations 1'!$A$2:$D$31, 4, FALSE)</f>
        <v>N</v>
      </c>
      <c r="S6" s="21" t="str">
        <f>VLOOKUP(Table1[[#This Row],[SKU]],'Calculations 2'!$A$2:$E$31,5,FALSE)</f>
        <v>C</v>
      </c>
      <c r="T6" s="33" t="str">
        <f t="shared" si="3"/>
        <v>Reserve</v>
      </c>
      <c r="U6" s="33" t="str">
        <f t="shared" si="4"/>
        <v>Core</v>
      </c>
    </row>
    <row r="7" spans="1:21" ht="15.6" x14ac:dyDescent="0.3">
      <c r="A7" s="3" t="s">
        <v>39</v>
      </c>
      <c r="B7" s="2" t="s">
        <v>40</v>
      </c>
      <c r="C7" s="2">
        <v>410</v>
      </c>
      <c r="D7" s="2">
        <v>0.01</v>
      </c>
      <c r="E7" s="2">
        <f>IFERROR(VLOOKUP(Table1[[#This Row],[Slotting_Zone_Recommended]],LEGEND!$L$2:$M$5,2,FALSE),"")</f>
        <v>3</v>
      </c>
      <c r="F7" s="42">
        <f t="shared" si="0"/>
        <v>300</v>
      </c>
      <c r="G7" s="42">
        <f t="shared" si="1"/>
        <v>1.3666666666666667</v>
      </c>
      <c r="H7" s="42" t="str">
        <f t="shared" si="2"/>
        <v>At Capacity</v>
      </c>
      <c r="I7" s="2">
        <v>0.3</v>
      </c>
      <c r="J7" s="2" t="s">
        <v>41</v>
      </c>
      <c r="K7" s="2" t="s">
        <v>21</v>
      </c>
      <c r="L7" s="4" t="s">
        <v>22</v>
      </c>
      <c r="M7" s="2" t="s">
        <v>117</v>
      </c>
      <c r="N7" s="1" t="s">
        <v>118</v>
      </c>
      <c r="O7" s="12" t="s">
        <v>119</v>
      </c>
      <c r="P7" s="2" t="str">
        <f>VLOOKUP(A7, 'Calculations 1'!$A$2:$D$31, 2, FALSE)</f>
        <v>Fasteners</v>
      </c>
      <c r="Q7" s="21" t="str">
        <f>VLOOKUP(A7, 'Calculations 1'!$A$2:$D$31, 3, FALSE)</f>
        <v>Each</v>
      </c>
      <c r="R7" s="21" t="str">
        <f>VLOOKUP(A7, 'Calculations 1'!$A$2:$D$31, 4, FALSE)</f>
        <v>N</v>
      </c>
      <c r="S7" s="21" t="str">
        <f>VLOOKUP(Table1[[#This Row],[SKU]],'Calculations 2'!$A$2:$E$31,5,FALSE)</f>
        <v>A</v>
      </c>
      <c r="T7" s="33" t="str">
        <f t="shared" si="3"/>
        <v>Fast</v>
      </c>
      <c r="U7" s="33" t="str">
        <f t="shared" si="4"/>
        <v>Core</v>
      </c>
    </row>
    <row r="8" spans="1:21" ht="15.6" x14ac:dyDescent="0.3">
      <c r="A8" s="3" t="s">
        <v>42</v>
      </c>
      <c r="B8" s="2" t="s">
        <v>43</v>
      </c>
      <c r="C8" s="2">
        <v>360</v>
      </c>
      <c r="D8" s="2">
        <v>0.01</v>
      </c>
      <c r="E8" s="2">
        <f>IFERROR(VLOOKUP(Table1[[#This Row],[Slotting_Zone_Recommended]],LEGEND!$L$2:$M$5,2,FALSE),"")</f>
        <v>3</v>
      </c>
      <c r="F8" s="42">
        <f t="shared" si="0"/>
        <v>300</v>
      </c>
      <c r="G8" s="42">
        <f t="shared" si="1"/>
        <v>1.2</v>
      </c>
      <c r="H8" s="42" t="str">
        <f t="shared" si="2"/>
        <v>At Capacity</v>
      </c>
      <c r="I8" s="2">
        <v>0.2</v>
      </c>
      <c r="J8" s="2" t="s">
        <v>44</v>
      </c>
      <c r="K8" s="2" t="s">
        <v>21</v>
      </c>
      <c r="L8" s="4" t="s">
        <v>22</v>
      </c>
      <c r="M8" s="2" t="s">
        <v>117</v>
      </c>
      <c r="N8" s="1" t="s">
        <v>118</v>
      </c>
      <c r="O8" s="12" t="s">
        <v>119</v>
      </c>
      <c r="P8" s="2" t="str">
        <f>VLOOKUP(A8, 'Calculations 1'!$A$2:$D$31, 2, FALSE)</f>
        <v>Fasteners</v>
      </c>
      <c r="Q8" s="21" t="str">
        <f>VLOOKUP(A8, 'Calculations 1'!$A$2:$D$31, 3, FALSE)</f>
        <v>Each</v>
      </c>
      <c r="R8" s="21" t="str">
        <f>VLOOKUP(A8, 'Calculations 1'!$A$2:$D$31, 4, FALSE)</f>
        <v>N</v>
      </c>
      <c r="S8" s="21" t="str">
        <f>VLOOKUP(Table1[[#This Row],[SKU]],'Calculations 2'!$A$2:$E$31,5,FALSE)</f>
        <v>A</v>
      </c>
      <c r="T8" s="33" t="str">
        <f t="shared" si="3"/>
        <v>Fast</v>
      </c>
      <c r="U8" s="33" t="str">
        <f t="shared" si="4"/>
        <v>Core</v>
      </c>
    </row>
    <row r="9" spans="1:21" ht="15.6" x14ac:dyDescent="0.3">
      <c r="A9" s="3" t="s">
        <v>45</v>
      </c>
      <c r="B9" s="2" t="s">
        <v>46</v>
      </c>
      <c r="C9" s="2">
        <v>120</v>
      </c>
      <c r="D9" s="2">
        <v>0.25</v>
      </c>
      <c r="E9" s="2">
        <f>IFERROR(VLOOKUP(Table1[[#This Row],[Slotting_Zone_Recommended]],LEGEND!$L$2:$M$5,2,FALSE),"")</f>
        <v>5</v>
      </c>
      <c r="F9" s="42">
        <f t="shared" si="0"/>
        <v>20</v>
      </c>
      <c r="G9" s="42">
        <f t="shared" si="1"/>
        <v>6</v>
      </c>
      <c r="H9" s="42" t="str">
        <f t="shared" si="2"/>
        <v>Over Capacity</v>
      </c>
      <c r="I9" s="2">
        <v>4.8</v>
      </c>
      <c r="J9" s="2" t="s">
        <v>47</v>
      </c>
      <c r="K9" s="2" t="s">
        <v>29</v>
      </c>
      <c r="L9" s="4" t="s">
        <v>30</v>
      </c>
      <c r="M9" s="2" t="s">
        <v>117</v>
      </c>
      <c r="N9" s="1" t="s">
        <v>118</v>
      </c>
      <c r="O9" s="12" t="s">
        <v>119</v>
      </c>
      <c r="P9" s="2" t="str">
        <f>VLOOKUP(A9, 'Calculations 1'!$A$2:$D$31, 2, FALSE)</f>
        <v>Fasteners</v>
      </c>
      <c r="Q9" s="21" t="str">
        <f>VLOOKUP(A9, 'Calculations 1'!$A$2:$D$31, 3, FALSE)</f>
        <v>Each</v>
      </c>
      <c r="R9" s="21" t="str">
        <f>VLOOKUP(A9, 'Calculations 1'!$A$2:$D$31, 4, FALSE)</f>
        <v>N</v>
      </c>
      <c r="S9" s="21" t="str">
        <f>VLOOKUP(Table1[[#This Row],[SKU]],'Calculations 2'!$A$2:$E$31,5,FALSE)</f>
        <v>B</v>
      </c>
      <c r="T9" s="33" t="str">
        <f t="shared" si="3"/>
        <v>Medium</v>
      </c>
      <c r="U9" s="33" t="str">
        <f t="shared" si="4"/>
        <v>Seasonal / Temporary</v>
      </c>
    </row>
    <row r="10" spans="1:21" ht="15.6" x14ac:dyDescent="0.3">
      <c r="A10" s="3" t="s">
        <v>48</v>
      </c>
      <c r="B10" s="2" t="s">
        <v>49</v>
      </c>
      <c r="C10" s="2">
        <v>35</v>
      </c>
      <c r="D10" s="2">
        <v>1.8</v>
      </c>
      <c r="E10" s="2">
        <f>IFERROR(VLOOKUP(Table1[[#This Row],[Slotting_Zone_Recommended]],LEGEND!$L$2:$M$5,2,FALSE),"")</f>
        <v>10</v>
      </c>
      <c r="F10" s="42">
        <f t="shared" si="0"/>
        <v>5.5555555555555554</v>
      </c>
      <c r="G10" s="42">
        <f t="shared" si="1"/>
        <v>6.3</v>
      </c>
      <c r="H10" s="42" t="str">
        <f t="shared" si="2"/>
        <v>Over Capacity</v>
      </c>
      <c r="I10" s="2">
        <v>18</v>
      </c>
      <c r="J10" s="2" t="s">
        <v>50</v>
      </c>
      <c r="K10" s="2" t="s">
        <v>37</v>
      </c>
      <c r="L10" s="4" t="s">
        <v>38</v>
      </c>
      <c r="M10" s="2" t="s">
        <v>120</v>
      </c>
      <c r="N10" s="1" t="s">
        <v>122</v>
      </c>
      <c r="O10" s="12" t="s">
        <v>119</v>
      </c>
      <c r="P10" s="2" t="str">
        <f>VLOOKUP(A10, 'Calculations 1'!$A$2:$D$31, 2, FALSE)</f>
        <v>Plumbing</v>
      </c>
      <c r="Q10" s="21" t="str">
        <f>VLOOKUP(A10, 'Calculations 1'!$A$2:$D$31, 3, FALSE)</f>
        <v>Bulk</v>
      </c>
      <c r="R10" s="21" t="str">
        <f>VLOOKUP(A10, 'Calculations 1'!$A$2:$D$31, 4, FALSE)</f>
        <v>N</v>
      </c>
      <c r="S10" s="21" t="str">
        <f>VLOOKUP(Table1[[#This Row],[SKU]],'Calculations 2'!$A$2:$E$31,5,FALSE)</f>
        <v>C</v>
      </c>
      <c r="T10" s="33" t="str">
        <f t="shared" si="3"/>
        <v>Reserve</v>
      </c>
      <c r="U10" s="33" t="str">
        <f t="shared" si="4"/>
        <v>Seasonal / Temporary</v>
      </c>
    </row>
    <row r="11" spans="1:21" ht="15.6" x14ac:dyDescent="0.3">
      <c r="A11" s="3" t="s">
        <v>51</v>
      </c>
      <c r="B11" s="2" t="s">
        <v>52</v>
      </c>
      <c r="C11" s="2">
        <v>90</v>
      </c>
      <c r="D11" s="2">
        <v>0.75</v>
      </c>
      <c r="E11" s="2">
        <f>IFERROR(VLOOKUP(Table1[[#This Row],[Slotting_Zone_Recommended]],LEGEND!$L$2:$M$5,2,FALSE),"")</f>
        <v>5</v>
      </c>
      <c r="F11" s="42">
        <f t="shared" si="0"/>
        <v>6.666666666666667</v>
      </c>
      <c r="G11" s="42">
        <f t="shared" si="1"/>
        <v>13.5</v>
      </c>
      <c r="H11" s="42" t="str">
        <f t="shared" si="2"/>
        <v>Over Capacity</v>
      </c>
      <c r="I11" s="2">
        <v>9.5</v>
      </c>
      <c r="J11" s="2" t="s">
        <v>53</v>
      </c>
      <c r="K11" s="2" t="s">
        <v>29</v>
      </c>
      <c r="L11" s="4" t="s">
        <v>38</v>
      </c>
      <c r="M11" s="2" t="s">
        <v>123</v>
      </c>
      <c r="N11" s="1" t="s">
        <v>122</v>
      </c>
      <c r="O11" s="12" t="s">
        <v>119</v>
      </c>
      <c r="P11" s="2" t="str">
        <f>VLOOKUP(A11, 'Calculations 1'!$A$2:$D$31, 2, FALSE)</f>
        <v>Electrical</v>
      </c>
      <c r="Q11" s="21" t="str">
        <f>VLOOKUP(A11, 'Calculations 1'!$A$2:$D$31, 3, FALSE)</f>
        <v>Bulk</v>
      </c>
      <c r="R11" s="21" t="str">
        <f>VLOOKUP(A11, 'Calculations 1'!$A$2:$D$31, 4, FALSE)</f>
        <v>N</v>
      </c>
      <c r="S11" s="21" t="str">
        <f>VLOOKUP(Table1[[#This Row],[SKU]],'Calculations 2'!$A$2:$E$31,5,FALSE)</f>
        <v>B</v>
      </c>
      <c r="T11" s="33" t="str">
        <f t="shared" si="3"/>
        <v>Medium</v>
      </c>
      <c r="U11" s="33" t="str">
        <f t="shared" si="4"/>
        <v>Seasonal / Temporary</v>
      </c>
    </row>
    <row r="12" spans="1:21" ht="15.6" x14ac:dyDescent="0.3">
      <c r="A12" s="3" t="s">
        <v>54</v>
      </c>
      <c r="B12" s="2" t="s">
        <v>55</v>
      </c>
      <c r="C12" s="2">
        <v>260</v>
      </c>
      <c r="D12" s="2">
        <v>0.05</v>
      </c>
      <c r="E12" s="2">
        <f>IFERROR(VLOOKUP(Table1[[#This Row],[Slotting_Zone_Recommended]],LEGEND!$L$2:$M$5,2,FALSE),"")</f>
        <v>3</v>
      </c>
      <c r="F12" s="42">
        <f t="shared" si="0"/>
        <v>60</v>
      </c>
      <c r="G12" s="42">
        <f t="shared" si="1"/>
        <v>4.333333333333333</v>
      </c>
      <c r="H12" s="42" t="str">
        <f t="shared" si="2"/>
        <v>Over Capacity</v>
      </c>
      <c r="I12" s="2">
        <v>1</v>
      </c>
      <c r="J12" s="2" t="s">
        <v>56</v>
      </c>
      <c r="K12" s="2" t="s">
        <v>21</v>
      </c>
      <c r="L12" s="4" t="s">
        <v>30</v>
      </c>
      <c r="M12" s="2" t="s">
        <v>123</v>
      </c>
      <c r="N12" s="1" t="s">
        <v>124</v>
      </c>
      <c r="O12" s="12" t="s">
        <v>119</v>
      </c>
      <c r="P12" s="2" t="str">
        <f>VLOOKUP(A12, 'Calculations 1'!$A$2:$D$31, 2, FALSE)</f>
        <v>Electrical</v>
      </c>
      <c r="Q12" s="21" t="str">
        <f>VLOOKUP(A12, 'Calculations 1'!$A$2:$D$31, 3, FALSE)</f>
        <v>Case</v>
      </c>
      <c r="R12" s="21" t="str">
        <f>VLOOKUP(A12, 'Calculations 1'!$A$2:$D$31, 4, FALSE)</f>
        <v>N</v>
      </c>
      <c r="S12" s="21" t="str">
        <f>VLOOKUP(Table1[[#This Row],[SKU]],'Calculations 2'!$A$2:$E$31,5,FALSE)</f>
        <v>A</v>
      </c>
      <c r="T12" s="33" t="str">
        <f t="shared" si="3"/>
        <v>Fast</v>
      </c>
      <c r="U12" s="33" t="str">
        <f t="shared" si="4"/>
        <v>Core</v>
      </c>
    </row>
    <row r="13" spans="1:21" ht="15.6" x14ac:dyDescent="0.3">
      <c r="A13" s="3" t="s">
        <v>57</v>
      </c>
      <c r="B13" s="2" t="s">
        <v>58</v>
      </c>
      <c r="C13" s="2">
        <v>240</v>
      </c>
      <c r="D13" s="2">
        <v>0.04</v>
      </c>
      <c r="E13" s="2">
        <f>IFERROR(VLOOKUP(Table1[[#This Row],[Slotting_Zone_Recommended]],LEGEND!$L$2:$M$5,2,FALSE),"")</f>
        <v>3</v>
      </c>
      <c r="F13" s="42">
        <f t="shared" si="0"/>
        <v>75</v>
      </c>
      <c r="G13" s="42">
        <f t="shared" si="1"/>
        <v>3.2</v>
      </c>
      <c r="H13" s="42" t="str">
        <f t="shared" si="2"/>
        <v>Over Capacity</v>
      </c>
      <c r="I13" s="2">
        <v>0.6</v>
      </c>
      <c r="J13" s="2" t="s">
        <v>59</v>
      </c>
      <c r="K13" s="2" t="s">
        <v>21</v>
      </c>
      <c r="L13" s="4" t="s">
        <v>30</v>
      </c>
      <c r="M13" s="2" t="s">
        <v>123</v>
      </c>
      <c r="N13" s="1" t="s">
        <v>118</v>
      </c>
      <c r="O13" s="12" t="s">
        <v>119</v>
      </c>
      <c r="P13" s="2" t="str">
        <f>VLOOKUP(A13, 'Calculations 1'!$A$2:$D$31, 2, FALSE)</f>
        <v>Electrical</v>
      </c>
      <c r="Q13" s="21" t="str">
        <f>VLOOKUP(A13, 'Calculations 1'!$A$2:$D$31, 3, FALSE)</f>
        <v>Each</v>
      </c>
      <c r="R13" s="21" t="str">
        <f>VLOOKUP(A13, 'Calculations 1'!$A$2:$D$31, 4, FALSE)</f>
        <v>N</v>
      </c>
      <c r="S13" s="21" t="str">
        <f>VLOOKUP(Table1[[#This Row],[SKU]],'Calculations 2'!$A$2:$E$31,5,FALSE)</f>
        <v>A</v>
      </c>
      <c r="T13" s="33" t="str">
        <f t="shared" si="3"/>
        <v>Fast</v>
      </c>
      <c r="U13" s="33" t="str">
        <f t="shared" si="4"/>
        <v>Core</v>
      </c>
    </row>
    <row r="14" spans="1:21" ht="15.6" x14ac:dyDescent="0.3">
      <c r="A14" s="3" t="s">
        <v>60</v>
      </c>
      <c r="B14" s="2" t="s">
        <v>61</v>
      </c>
      <c r="C14" s="2">
        <v>180</v>
      </c>
      <c r="D14" s="2">
        <v>0.2</v>
      </c>
      <c r="E14" s="2">
        <f>IFERROR(VLOOKUP(Table1[[#This Row],[Slotting_Zone_Recommended]],LEGEND!$L$2:$M$5,2,FALSE),"")</f>
        <v>3</v>
      </c>
      <c r="F14" s="42">
        <f t="shared" si="0"/>
        <v>15</v>
      </c>
      <c r="G14" s="42">
        <f t="shared" si="1"/>
        <v>12</v>
      </c>
      <c r="H14" s="42" t="str">
        <f t="shared" si="2"/>
        <v>Over Capacity</v>
      </c>
      <c r="I14" s="2">
        <v>1.8</v>
      </c>
      <c r="J14" s="2" t="s">
        <v>62</v>
      </c>
      <c r="K14" s="2" t="s">
        <v>29</v>
      </c>
      <c r="L14" s="4" t="s">
        <v>30</v>
      </c>
      <c r="M14" s="2" t="s">
        <v>125</v>
      </c>
      <c r="N14" s="1" t="s">
        <v>124</v>
      </c>
      <c r="O14" s="12" t="s">
        <v>119</v>
      </c>
      <c r="P14" s="2" t="str">
        <f>VLOOKUP(A14, 'Calculations 1'!$A$2:$D$31, 2, FALSE)</f>
        <v>Safety</v>
      </c>
      <c r="Q14" s="21" t="str">
        <f>VLOOKUP(A14, 'Calculations 1'!$A$2:$D$31, 3, FALSE)</f>
        <v>Case</v>
      </c>
      <c r="R14" s="21" t="str">
        <f>VLOOKUP(A14, 'Calculations 1'!$A$2:$D$31, 4, FALSE)</f>
        <v>N</v>
      </c>
      <c r="S14" s="21" t="str">
        <f>VLOOKUP(Table1[[#This Row],[SKU]],'Calculations 2'!$A$2:$E$31,5,FALSE)</f>
        <v>A</v>
      </c>
      <c r="T14" s="33" t="str">
        <f t="shared" si="3"/>
        <v>Fast</v>
      </c>
      <c r="U14" s="33" t="str">
        <f t="shared" si="4"/>
        <v>Seasonal / Temporary</v>
      </c>
    </row>
    <row r="15" spans="1:21" ht="15.6" x14ac:dyDescent="0.3">
      <c r="A15" s="3" t="s">
        <v>63</v>
      </c>
      <c r="B15" s="2" t="s">
        <v>64</v>
      </c>
      <c r="C15" s="2">
        <v>75</v>
      </c>
      <c r="D15" s="2">
        <v>0.9</v>
      </c>
      <c r="E15" s="2">
        <f>IFERROR(VLOOKUP(Table1[[#This Row],[Slotting_Zone_Recommended]],LEGEND!$L$2:$M$5,2,FALSE),"")</f>
        <v>10</v>
      </c>
      <c r="F15" s="42">
        <f t="shared" si="0"/>
        <v>11.111111111111111</v>
      </c>
      <c r="G15" s="42">
        <f t="shared" si="1"/>
        <v>6.75</v>
      </c>
      <c r="H15" s="42" t="str">
        <f t="shared" si="2"/>
        <v>Over Capacity</v>
      </c>
      <c r="I15" s="2">
        <v>3.2</v>
      </c>
      <c r="J15" s="2" t="s">
        <v>65</v>
      </c>
      <c r="K15" s="2" t="s">
        <v>29</v>
      </c>
      <c r="L15" s="4" t="s">
        <v>38</v>
      </c>
      <c r="M15" s="2" t="s">
        <v>125</v>
      </c>
      <c r="N15" s="1" t="s">
        <v>118</v>
      </c>
      <c r="O15" s="12" t="s">
        <v>119</v>
      </c>
      <c r="P15" s="2" t="str">
        <f>VLOOKUP(A15, 'Calculations 1'!$A$2:$D$31, 2, FALSE)</f>
        <v>Safety</v>
      </c>
      <c r="Q15" s="21" t="str">
        <f>VLOOKUP(A15, 'Calculations 1'!$A$2:$D$31, 3, FALSE)</f>
        <v>Each</v>
      </c>
      <c r="R15" s="21" t="str">
        <f>VLOOKUP(A15, 'Calculations 1'!$A$2:$D$31, 4, FALSE)</f>
        <v>N</v>
      </c>
      <c r="S15" s="21" t="str">
        <f>VLOOKUP(Table1[[#This Row],[SKU]],'Calculations 2'!$A$2:$E$31,5,FALSE)</f>
        <v>C</v>
      </c>
      <c r="T15" s="33" t="str">
        <f t="shared" si="3"/>
        <v>Reserve</v>
      </c>
      <c r="U15" s="33" t="str">
        <f t="shared" si="4"/>
        <v>Seasonal / Temporary</v>
      </c>
    </row>
    <row r="16" spans="1:21" ht="15.6" x14ac:dyDescent="0.3">
      <c r="A16" s="3" t="s">
        <v>66</v>
      </c>
      <c r="B16" s="2" t="s">
        <v>67</v>
      </c>
      <c r="C16" s="2">
        <v>210</v>
      </c>
      <c r="D16" s="2">
        <v>0.1</v>
      </c>
      <c r="E16" s="2">
        <f>IFERROR(VLOOKUP(Table1[[#This Row],[Slotting_Zone_Recommended]],LEGEND!$L$2:$M$5,2,FALSE),"")</f>
        <v>3</v>
      </c>
      <c r="F16" s="42">
        <f t="shared" si="0"/>
        <v>30</v>
      </c>
      <c r="G16" s="42">
        <f t="shared" si="1"/>
        <v>7</v>
      </c>
      <c r="H16" s="42" t="str">
        <f t="shared" si="2"/>
        <v>Over Capacity</v>
      </c>
      <c r="I16" s="2">
        <v>0.7</v>
      </c>
      <c r="J16" s="2" t="s">
        <v>68</v>
      </c>
      <c r="K16" s="2" t="s">
        <v>21</v>
      </c>
      <c r="L16" s="4" t="s">
        <v>30</v>
      </c>
      <c r="M16" s="2" t="s">
        <v>125</v>
      </c>
      <c r="N16" s="1" t="s">
        <v>118</v>
      </c>
      <c r="O16" s="12" t="s">
        <v>119</v>
      </c>
      <c r="P16" s="2" t="str">
        <f>VLOOKUP(A16, 'Calculations 1'!$A$2:$D$31, 2, FALSE)</f>
        <v>Safety</v>
      </c>
      <c r="Q16" s="21" t="str">
        <f>VLOOKUP(A16, 'Calculations 1'!$A$2:$D$31, 3, FALSE)</f>
        <v>Each</v>
      </c>
      <c r="R16" s="21" t="str">
        <f>VLOOKUP(A16, 'Calculations 1'!$A$2:$D$31, 4, FALSE)</f>
        <v>N</v>
      </c>
      <c r="S16" s="21" t="str">
        <f>VLOOKUP(Table1[[#This Row],[SKU]],'Calculations 2'!$A$2:$E$31,5,FALSE)</f>
        <v>A</v>
      </c>
      <c r="T16" s="33" t="str">
        <f t="shared" si="3"/>
        <v>Fast</v>
      </c>
      <c r="U16" s="33" t="str">
        <f t="shared" si="4"/>
        <v>Core</v>
      </c>
    </row>
    <row r="17" spans="1:21" ht="15.6" x14ac:dyDescent="0.3">
      <c r="A17" s="3" t="s">
        <v>69</v>
      </c>
      <c r="B17" s="2" t="s">
        <v>70</v>
      </c>
      <c r="C17" s="2">
        <v>65</v>
      </c>
      <c r="D17" s="2">
        <v>0.45</v>
      </c>
      <c r="E17" s="2">
        <f>IFERROR(VLOOKUP(Table1[[#This Row],[Slotting_Zone_Recommended]],LEGEND!$L$2:$M$5,2,FALSE),"")</f>
        <v>10</v>
      </c>
      <c r="F17" s="42">
        <f t="shared" si="0"/>
        <v>22.222222222222221</v>
      </c>
      <c r="G17" s="42">
        <f t="shared" si="1"/>
        <v>2.9250000000000003</v>
      </c>
      <c r="H17" s="42" t="str">
        <f t="shared" si="2"/>
        <v>Over Capacity</v>
      </c>
      <c r="I17" s="2">
        <v>4.5</v>
      </c>
      <c r="J17" s="2" t="s">
        <v>71</v>
      </c>
      <c r="K17" s="2" t="s">
        <v>37</v>
      </c>
      <c r="L17" s="4" t="s">
        <v>38</v>
      </c>
      <c r="M17" s="2" t="s">
        <v>121</v>
      </c>
      <c r="N17" s="1" t="s">
        <v>118</v>
      </c>
      <c r="O17" s="12" t="s">
        <v>119</v>
      </c>
      <c r="P17" s="2" t="str">
        <f>VLOOKUP(A17, 'Calculations 1'!$A$2:$D$31, 2, FALSE)</f>
        <v>Tools</v>
      </c>
      <c r="Q17" s="21" t="str">
        <f>VLOOKUP(A17, 'Calculations 1'!$A$2:$D$31, 3, FALSE)</f>
        <v>Each</v>
      </c>
      <c r="R17" s="21" t="str">
        <f>VLOOKUP(A17, 'Calculations 1'!$A$2:$D$31, 4, FALSE)</f>
        <v>N</v>
      </c>
      <c r="S17" s="21" t="str">
        <f>VLOOKUP(Table1[[#This Row],[SKU]],'Calculations 2'!$A$2:$E$31,5,FALSE)</f>
        <v>C</v>
      </c>
      <c r="T17" s="33" t="str">
        <f t="shared" si="3"/>
        <v>Reserve</v>
      </c>
      <c r="U17" s="33" t="str">
        <f t="shared" si="4"/>
        <v>Core</v>
      </c>
    </row>
    <row r="18" spans="1:21" ht="15.6" x14ac:dyDescent="0.3">
      <c r="A18" s="3" t="s">
        <v>72</v>
      </c>
      <c r="B18" s="2" t="s">
        <v>73</v>
      </c>
      <c r="C18" s="2">
        <v>85</v>
      </c>
      <c r="D18" s="2">
        <v>0.35</v>
      </c>
      <c r="E18" s="2">
        <f>IFERROR(VLOOKUP(Table1[[#This Row],[Slotting_Zone_Recommended]],LEGEND!$L$2:$M$5,2,FALSE),"")</f>
        <v>5</v>
      </c>
      <c r="F18" s="42">
        <f t="shared" si="0"/>
        <v>14.285714285714286</v>
      </c>
      <c r="G18" s="42">
        <f t="shared" si="1"/>
        <v>5.9499999999999993</v>
      </c>
      <c r="H18" s="42" t="str">
        <f t="shared" si="2"/>
        <v>Over Capacity</v>
      </c>
      <c r="I18" s="2">
        <v>3</v>
      </c>
      <c r="J18" s="2" t="s">
        <v>74</v>
      </c>
      <c r="K18" s="2" t="s">
        <v>29</v>
      </c>
      <c r="L18" s="4" t="s">
        <v>38</v>
      </c>
      <c r="M18" s="2" t="s">
        <v>121</v>
      </c>
      <c r="N18" s="1" t="s">
        <v>118</v>
      </c>
      <c r="O18" s="12" t="s">
        <v>119</v>
      </c>
      <c r="P18" s="2" t="str">
        <f>VLOOKUP(A18, 'Calculations 1'!$A$2:$D$31, 2, FALSE)</f>
        <v>Tools</v>
      </c>
      <c r="Q18" s="21" t="str">
        <f>VLOOKUP(A18, 'Calculations 1'!$A$2:$D$31, 3, FALSE)</f>
        <v>Each</v>
      </c>
      <c r="R18" s="21" t="str">
        <f>VLOOKUP(A18, 'Calculations 1'!$A$2:$D$31, 4, FALSE)</f>
        <v>N</v>
      </c>
      <c r="S18" s="21" t="str">
        <f>VLOOKUP(Table1[[#This Row],[SKU]],'Calculations 2'!$A$2:$E$31,5,FALSE)</f>
        <v>B</v>
      </c>
      <c r="T18" s="33" t="str">
        <f t="shared" si="3"/>
        <v>Medium</v>
      </c>
      <c r="U18" s="33" t="str">
        <f t="shared" si="4"/>
        <v>Seasonal / Temporary</v>
      </c>
    </row>
    <row r="19" spans="1:21" ht="15.6" x14ac:dyDescent="0.3">
      <c r="A19" s="3" t="s">
        <v>75</v>
      </c>
      <c r="B19" s="2" t="s">
        <v>76</v>
      </c>
      <c r="C19" s="2">
        <v>30</v>
      </c>
      <c r="D19" s="2">
        <v>1.2</v>
      </c>
      <c r="E19" s="2">
        <f>IFERROR(VLOOKUP(Table1[[#This Row],[Slotting_Zone_Recommended]],LEGEND!$L$2:$M$5,2,FALSE),"")</f>
        <v>10</v>
      </c>
      <c r="F19" s="42">
        <f t="shared" si="0"/>
        <v>8.3333333333333339</v>
      </c>
      <c r="G19" s="42">
        <f t="shared" si="1"/>
        <v>3.5999999999999996</v>
      </c>
      <c r="H19" s="42" t="str">
        <f t="shared" si="2"/>
        <v>Over Capacity</v>
      </c>
      <c r="I19" s="2">
        <v>12</v>
      </c>
      <c r="J19" s="2" t="s">
        <v>77</v>
      </c>
      <c r="K19" s="2" t="s">
        <v>37</v>
      </c>
      <c r="L19" s="4" t="s">
        <v>38</v>
      </c>
      <c r="M19" s="2" t="s">
        <v>121</v>
      </c>
      <c r="N19" s="1" t="s">
        <v>124</v>
      </c>
      <c r="O19" s="12" t="s">
        <v>119</v>
      </c>
      <c r="P19" s="2" t="str">
        <f>VLOOKUP(A19, 'Calculations 1'!$A$2:$D$31, 2, FALSE)</f>
        <v>Tools</v>
      </c>
      <c r="Q19" s="21" t="str">
        <f>VLOOKUP(A19, 'Calculations 1'!$A$2:$D$31, 3, FALSE)</f>
        <v>Case</v>
      </c>
      <c r="R19" s="21" t="str">
        <f>VLOOKUP(A19, 'Calculations 1'!$A$2:$D$31, 4, FALSE)</f>
        <v>N</v>
      </c>
      <c r="S19" s="21" t="str">
        <f>VLOOKUP(Table1[[#This Row],[SKU]],'Calculations 2'!$A$2:$E$31,5,FALSE)</f>
        <v>C</v>
      </c>
      <c r="T19" s="33" t="str">
        <f t="shared" si="3"/>
        <v>Reserve</v>
      </c>
      <c r="U19" s="33" t="str">
        <f t="shared" si="4"/>
        <v>Core</v>
      </c>
    </row>
    <row r="20" spans="1:21" ht="15.6" x14ac:dyDescent="0.3">
      <c r="A20" s="3" t="s">
        <v>78</v>
      </c>
      <c r="B20" s="2" t="s">
        <v>79</v>
      </c>
      <c r="C20" s="2">
        <v>110</v>
      </c>
      <c r="D20" s="2">
        <v>0.18</v>
      </c>
      <c r="E20" s="2">
        <f>IFERROR(VLOOKUP(Table1[[#This Row],[Slotting_Zone_Recommended]],LEGEND!$L$2:$M$5,2,FALSE),"")</f>
        <v>5</v>
      </c>
      <c r="F20" s="42">
        <f t="shared" si="0"/>
        <v>27.777777777777779</v>
      </c>
      <c r="G20" s="42">
        <f t="shared" si="1"/>
        <v>3.96</v>
      </c>
      <c r="H20" s="42" t="str">
        <f t="shared" si="2"/>
        <v>Over Capacity</v>
      </c>
      <c r="I20" s="2">
        <v>2.2000000000000002</v>
      </c>
      <c r="J20" s="2" t="s">
        <v>80</v>
      </c>
      <c r="K20" s="2" t="s">
        <v>29</v>
      </c>
      <c r="L20" s="4" t="s">
        <v>30</v>
      </c>
      <c r="M20" s="2" t="s">
        <v>121</v>
      </c>
      <c r="N20" s="1" t="s">
        <v>124</v>
      </c>
      <c r="O20" s="12" t="s">
        <v>119</v>
      </c>
      <c r="P20" s="2" t="str">
        <f>VLOOKUP(A20, 'Calculations 1'!$A$2:$D$31, 2, FALSE)</f>
        <v>Tools</v>
      </c>
      <c r="Q20" s="21" t="str">
        <f>VLOOKUP(A20, 'Calculations 1'!$A$2:$D$31, 3, FALSE)</f>
        <v>Case</v>
      </c>
      <c r="R20" s="21" t="str">
        <f>VLOOKUP(A20, 'Calculations 1'!$A$2:$D$31, 4, FALSE)</f>
        <v>N</v>
      </c>
      <c r="S20" s="21" t="str">
        <f>VLOOKUP(Table1[[#This Row],[SKU]],'Calculations 2'!$A$2:$E$31,5,FALSE)</f>
        <v>B</v>
      </c>
      <c r="T20" s="33" t="str">
        <f t="shared" si="3"/>
        <v>Medium</v>
      </c>
      <c r="U20" s="33" t="str">
        <f t="shared" si="4"/>
        <v>Core</v>
      </c>
    </row>
    <row r="21" spans="1:21" ht="15.6" x14ac:dyDescent="0.3">
      <c r="A21" s="3" t="s">
        <v>81</v>
      </c>
      <c r="B21" s="2" t="s">
        <v>82</v>
      </c>
      <c r="C21" s="2">
        <v>55</v>
      </c>
      <c r="D21" s="2">
        <v>0.8</v>
      </c>
      <c r="E21" s="2">
        <f>IFERROR(VLOOKUP(Table1[[#This Row],[Slotting_Zone_Recommended]],LEGEND!$L$2:$M$5,2,FALSE),"")</f>
        <v>10</v>
      </c>
      <c r="F21" s="42">
        <f t="shared" si="0"/>
        <v>12.5</v>
      </c>
      <c r="G21" s="42">
        <f t="shared" si="1"/>
        <v>4.4000000000000004</v>
      </c>
      <c r="H21" s="42" t="str">
        <f t="shared" si="2"/>
        <v>Over Capacity</v>
      </c>
      <c r="I21" s="2">
        <v>10.5</v>
      </c>
      <c r="J21" s="2" t="s">
        <v>83</v>
      </c>
      <c r="K21" s="2" t="s">
        <v>37</v>
      </c>
      <c r="L21" s="4" t="s">
        <v>38</v>
      </c>
      <c r="M21" s="2" t="s">
        <v>121</v>
      </c>
      <c r="N21" s="1" t="s">
        <v>124</v>
      </c>
      <c r="O21" s="12" t="s">
        <v>119</v>
      </c>
      <c r="P21" s="2" t="str">
        <f>VLOOKUP(A21, 'Calculations 1'!$A$2:$D$31, 2, FALSE)</f>
        <v>Tools</v>
      </c>
      <c r="Q21" s="21" t="str">
        <f>VLOOKUP(A21, 'Calculations 1'!$A$2:$D$31, 3, FALSE)</f>
        <v>Case</v>
      </c>
      <c r="R21" s="21" t="str">
        <f>VLOOKUP(A21, 'Calculations 1'!$A$2:$D$31, 4, FALSE)</f>
        <v>N</v>
      </c>
      <c r="S21" s="21" t="str">
        <f>VLOOKUP(Table1[[#This Row],[SKU]],'Calculations 2'!$A$2:$E$31,5,FALSE)</f>
        <v>C</v>
      </c>
      <c r="T21" s="33" t="str">
        <f t="shared" si="3"/>
        <v>Reserve</v>
      </c>
      <c r="U21" s="33" t="str">
        <f t="shared" si="4"/>
        <v>Core</v>
      </c>
    </row>
    <row r="22" spans="1:21" ht="15.6" x14ac:dyDescent="0.3">
      <c r="A22" s="3" t="s">
        <v>84</v>
      </c>
      <c r="B22" s="2" t="s">
        <v>85</v>
      </c>
      <c r="C22" s="2">
        <v>145</v>
      </c>
      <c r="D22" s="2">
        <v>0.22</v>
      </c>
      <c r="E22" s="2">
        <f>IFERROR(VLOOKUP(Table1[[#This Row],[Slotting_Zone_Recommended]],LEGEND!$L$2:$M$5,2,FALSE),"")</f>
        <v>5</v>
      </c>
      <c r="F22" s="42">
        <f t="shared" si="0"/>
        <v>22.727272727272727</v>
      </c>
      <c r="G22" s="42">
        <f t="shared" si="1"/>
        <v>6.38</v>
      </c>
      <c r="H22" s="42" t="str">
        <f t="shared" si="2"/>
        <v>Over Capacity</v>
      </c>
      <c r="I22" s="2">
        <v>3.6</v>
      </c>
      <c r="J22" s="2" t="s">
        <v>86</v>
      </c>
      <c r="K22" s="2" t="s">
        <v>29</v>
      </c>
      <c r="L22" s="4" t="s">
        <v>30</v>
      </c>
      <c r="M22" s="2" t="s">
        <v>117</v>
      </c>
      <c r="N22" s="1" t="s">
        <v>118</v>
      </c>
      <c r="O22" s="12" t="s">
        <v>119</v>
      </c>
      <c r="P22" s="2" t="str">
        <f>VLOOKUP(A22, 'Calculations 1'!$A$2:$D$31, 2, FALSE)</f>
        <v>Fasteners</v>
      </c>
      <c r="Q22" s="21" t="str">
        <f>VLOOKUP(A22, 'Calculations 1'!$A$2:$D$31, 3, FALSE)</f>
        <v>Each</v>
      </c>
      <c r="R22" s="21" t="str">
        <f>VLOOKUP(A22, 'Calculations 1'!$A$2:$D$31, 4, FALSE)</f>
        <v>N</v>
      </c>
      <c r="S22" s="21" t="str">
        <f>VLOOKUP(Table1[[#This Row],[SKU]],'Calculations 2'!$A$2:$E$31,5,FALSE)</f>
        <v>B</v>
      </c>
      <c r="T22" s="33" t="str">
        <f t="shared" si="3"/>
        <v>Medium</v>
      </c>
      <c r="U22" s="33" t="str">
        <f t="shared" si="4"/>
        <v>Seasonal / Temporary</v>
      </c>
    </row>
    <row r="23" spans="1:21" ht="15.6" x14ac:dyDescent="0.3">
      <c r="A23" s="3" t="s">
        <v>87</v>
      </c>
      <c r="B23" s="2" t="s">
        <v>88</v>
      </c>
      <c r="C23" s="2">
        <v>190</v>
      </c>
      <c r="D23" s="2">
        <v>0.03</v>
      </c>
      <c r="E23" s="2">
        <f>IFERROR(VLOOKUP(Table1[[#This Row],[Slotting_Zone_Recommended]],LEGEND!$L$2:$M$5,2,FALSE),"")</f>
        <v>3</v>
      </c>
      <c r="F23" s="42">
        <f t="shared" si="0"/>
        <v>100</v>
      </c>
      <c r="G23" s="42">
        <f t="shared" si="1"/>
        <v>1.9</v>
      </c>
      <c r="H23" s="42" t="str">
        <f t="shared" si="2"/>
        <v>At Capacity</v>
      </c>
      <c r="I23" s="2">
        <v>1.6</v>
      </c>
      <c r="J23" s="2" t="s">
        <v>89</v>
      </c>
      <c r="K23" s="2" t="s">
        <v>21</v>
      </c>
      <c r="L23" s="4" t="s">
        <v>30</v>
      </c>
      <c r="M23" s="2" t="s">
        <v>117</v>
      </c>
      <c r="N23" s="1" t="s">
        <v>118</v>
      </c>
      <c r="O23" s="12" t="s">
        <v>119</v>
      </c>
      <c r="P23" s="2" t="str">
        <f>VLOOKUP(A23, 'Calculations 1'!$A$2:$D$31, 2, FALSE)</f>
        <v>Fasteners</v>
      </c>
      <c r="Q23" s="21" t="str">
        <f>VLOOKUP(A23, 'Calculations 1'!$A$2:$D$31, 3, FALSE)</f>
        <v>Each</v>
      </c>
      <c r="R23" s="21" t="str">
        <f>VLOOKUP(A23, 'Calculations 1'!$A$2:$D$31, 4, FALSE)</f>
        <v>N</v>
      </c>
      <c r="S23" s="21" t="str">
        <f>VLOOKUP(Table1[[#This Row],[SKU]],'Calculations 2'!$A$2:$E$31,5,FALSE)</f>
        <v>A</v>
      </c>
      <c r="T23" s="33" t="str">
        <f t="shared" si="3"/>
        <v>Fast</v>
      </c>
      <c r="U23" s="33" t="str">
        <f t="shared" si="4"/>
        <v>Core</v>
      </c>
    </row>
    <row r="24" spans="1:21" ht="15.6" x14ac:dyDescent="0.3">
      <c r="A24" s="3" t="s">
        <v>90</v>
      </c>
      <c r="B24" s="2" t="s">
        <v>91</v>
      </c>
      <c r="C24" s="2">
        <v>230</v>
      </c>
      <c r="D24" s="2">
        <v>0.06</v>
      </c>
      <c r="E24" s="2">
        <f>IFERROR(VLOOKUP(Table1[[#This Row],[Slotting_Zone_Recommended]],LEGEND!$L$2:$M$5,2,FALSE),"")</f>
        <v>3</v>
      </c>
      <c r="F24" s="42">
        <f t="shared" si="0"/>
        <v>50</v>
      </c>
      <c r="G24" s="42">
        <f t="shared" si="1"/>
        <v>4.5999999999999996</v>
      </c>
      <c r="H24" s="42" t="str">
        <f t="shared" si="2"/>
        <v>Over Capacity</v>
      </c>
      <c r="I24" s="2">
        <v>0.9</v>
      </c>
      <c r="J24" s="2" t="s">
        <v>92</v>
      </c>
      <c r="K24" s="2" t="s">
        <v>21</v>
      </c>
      <c r="L24" s="4" t="s">
        <v>30</v>
      </c>
      <c r="M24" s="2" t="s">
        <v>117</v>
      </c>
      <c r="N24" s="1" t="s">
        <v>124</v>
      </c>
      <c r="O24" s="12" t="s">
        <v>119</v>
      </c>
      <c r="P24" s="2" t="str">
        <f>VLOOKUP(A24, 'Calculations 1'!$A$2:$D$31, 2, FALSE)</f>
        <v>Fasteners</v>
      </c>
      <c r="Q24" s="21" t="str">
        <f>VLOOKUP(A24, 'Calculations 1'!$A$2:$D$31, 3, FALSE)</f>
        <v>Case</v>
      </c>
      <c r="R24" s="21" t="str">
        <f>VLOOKUP(A24, 'Calculations 1'!$A$2:$D$31, 4, FALSE)</f>
        <v>N</v>
      </c>
      <c r="S24" s="21" t="str">
        <f>VLOOKUP(Table1[[#This Row],[SKU]],'Calculations 2'!$A$2:$E$31,5,FALSE)</f>
        <v>A</v>
      </c>
      <c r="T24" s="33" t="str">
        <f t="shared" si="3"/>
        <v>Fast</v>
      </c>
      <c r="U24" s="33" t="str">
        <f t="shared" si="4"/>
        <v>Core</v>
      </c>
    </row>
    <row r="25" spans="1:21" ht="15.6" x14ac:dyDescent="0.3">
      <c r="A25" s="3" t="s">
        <v>93</v>
      </c>
      <c r="B25" s="2" t="s">
        <v>94</v>
      </c>
      <c r="C25" s="2">
        <v>70</v>
      </c>
      <c r="D25" s="2">
        <v>0.4</v>
      </c>
      <c r="E25" s="2">
        <f>IFERROR(VLOOKUP(Table1[[#This Row],[Slotting_Zone_Recommended]],LEGEND!$L$2:$M$5,2,FALSE),"")</f>
        <v>10</v>
      </c>
      <c r="F25" s="42">
        <f t="shared" si="0"/>
        <v>25</v>
      </c>
      <c r="G25" s="42">
        <f t="shared" si="1"/>
        <v>2.8</v>
      </c>
      <c r="H25" s="42" t="str">
        <f t="shared" si="2"/>
        <v>Over Capacity</v>
      </c>
      <c r="I25" s="2">
        <v>2.8</v>
      </c>
      <c r="J25" s="2" t="s">
        <v>95</v>
      </c>
      <c r="K25" s="2" t="s">
        <v>29</v>
      </c>
      <c r="L25" s="4" t="s">
        <v>38</v>
      </c>
      <c r="M25" s="2" t="s">
        <v>126</v>
      </c>
      <c r="N25" s="1" t="s">
        <v>118</v>
      </c>
      <c r="O25" s="12" t="s">
        <v>119</v>
      </c>
      <c r="P25" s="2" t="str">
        <f>VLOOKUP(A25, 'Calculations 1'!$A$2:$D$31, 2, FALSE)</f>
        <v>Paint</v>
      </c>
      <c r="Q25" s="21" t="str">
        <f>VLOOKUP(A25, 'Calculations 1'!$A$2:$D$31, 3, FALSE)</f>
        <v>Each</v>
      </c>
      <c r="R25" s="21" t="str">
        <f>VLOOKUP(A25, 'Calculations 1'!$A$2:$D$31, 4, FALSE)</f>
        <v>N</v>
      </c>
      <c r="S25" s="21" t="str">
        <f>VLOOKUP(Table1[[#This Row],[SKU]],'Calculations 2'!$A$2:$E$31,5,FALSE)</f>
        <v>C</v>
      </c>
      <c r="T25" s="33" t="str">
        <f t="shared" si="3"/>
        <v>Reserve</v>
      </c>
      <c r="U25" s="33" t="str">
        <f t="shared" si="4"/>
        <v>Core</v>
      </c>
    </row>
    <row r="26" spans="1:21" ht="15.6" x14ac:dyDescent="0.3">
      <c r="A26" s="3" t="s">
        <v>96</v>
      </c>
      <c r="B26" s="2" t="s">
        <v>97</v>
      </c>
      <c r="C26" s="2">
        <v>50</v>
      </c>
      <c r="D26" s="2">
        <v>0.55000000000000004</v>
      </c>
      <c r="E26" s="2">
        <f>IFERROR(VLOOKUP(Table1[[#This Row],[Slotting_Zone_Recommended]],LEGEND!$L$2:$M$5,2,FALSE),"")</f>
        <v>10</v>
      </c>
      <c r="F26" s="42">
        <f t="shared" si="0"/>
        <v>18.18181818181818</v>
      </c>
      <c r="G26" s="42">
        <f t="shared" si="1"/>
        <v>2.7500000000000004</v>
      </c>
      <c r="H26" s="42" t="str">
        <f t="shared" si="2"/>
        <v>Over Capacity</v>
      </c>
      <c r="I26" s="2">
        <v>3.4</v>
      </c>
      <c r="J26" s="2" t="s">
        <v>98</v>
      </c>
      <c r="K26" s="2" t="s">
        <v>37</v>
      </c>
      <c r="L26" s="4" t="s">
        <v>38</v>
      </c>
      <c r="M26" s="2" t="s">
        <v>126</v>
      </c>
      <c r="N26" s="1" t="s">
        <v>118</v>
      </c>
      <c r="O26" s="12" t="s">
        <v>119</v>
      </c>
      <c r="P26" s="2" t="str">
        <f>VLOOKUP(A26, 'Calculations 1'!$A$2:$D$31, 2, FALSE)</f>
        <v>Paint</v>
      </c>
      <c r="Q26" s="21" t="str">
        <f>VLOOKUP(A26, 'Calculations 1'!$A$2:$D$31, 3, FALSE)</f>
        <v>Each</v>
      </c>
      <c r="R26" s="21" t="str">
        <f>VLOOKUP(A26, 'Calculations 1'!$A$2:$D$31, 4, FALSE)</f>
        <v>N</v>
      </c>
      <c r="S26" s="21" t="str">
        <f>VLOOKUP(Table1[[#This Row],[SKU]],'Calculations 2'!$A$2:$E$31,5,FALSE)</f>
        <v>C</v>
      </c>
      <c r="T26" s="33" t="str">
        <f t="shared" si="3"/>
        <v>Reserve</v>
      </c>
      <c r="U26" s="33" t="str">
        <f t="shared" si="4"/>
        <v>Core</v>
      </c>
    </row>
    <row r="27" spans="1:21" ht="15.6" x14ac:dyDescent="0.3">
      <c r="A27" s="3" t="s">
        <v>99</v>
      </c>
      <c r="B27" s="2" t="s">
        <v>100</v>
      </c>
      <c r="C27" s="2">
        <v>95</v>
      </c>
      <c r="D27" s="2">
        <v>0.65</v>
      </c>
      <c r="E27" s="2">
        <f>IFERROR(VLOOKUP(Table1[[#This Row],[Slotting_Zone_Recommended]],LEGEND!$L$2:$M$5,2,FALSE),"")</f>
        <v>5</v>
      </c>
      <c r="F27" s="42">
        <f t="shared" si="0"/>
        <v>7.6923076923076916</v>
      </c>
      <c r="G27" s="42">
        <f t="shared" si="1"/>
        <v>12.350000000000001</v>
      </c>
      <c r="H27" s="42" t="str">
        <f t="shared" si="2"/>
        <v>Over Capacity</v>
      </c>
      <c r="I27" s="2">
        <v>6.5</v>
      </c>
      <c r="J27" s="2" t="s">
        <v>101</v>
      </c>
      <c r="K27" s="2" t="s">
        <v>29</v>
      </c>
      <c r="L27" s="4" t="s">
        <v>38</v>
      </c>
      <c r="M27" s="2" t="s">
        <v>123</v>
      </c>
      <c r="N27" s="1" t="s">
        <v>118</v>
      </c>
      <c r="O27" s="12" t="s">
        <v>119</v>
      </c>
      <c r="P27" s="2" t="str">
        <f>VLOOKUP(A27, 'Calculations 1'!$A$2:$D$31, 2, FALSE)</f>
        <v>Electrical</v>
      </c>
      <c r="Q27" s="21" t="str">
        <f>VLOOKUP(A27, 'Calculations 1'!$A$2:$D$31, 3, FALSE)</f>
        <v>Each</v>
      </c>
      <c r="R27" s="21" t="str">
        <f>VLOOKUP(A27, 'Calculations 1'!$A$2:$D$31, 4, FALSE)</f>
        <v>N</v>
      </c>
      <c r="S27" s="21" t="str">
        <f>VLOOKUP(Table1[[#This Row],[SKU]],'Calculations 2'!$A$2:$E$31,5,FALSE)</f>
        <v>B</v>
      </c>
      <c r="T27" s="33" t="str">
        <f t="shared" si="3"/>
        <v>Medium</v>
      </c>
      <c r="U27" s="33" t="str">
        <f t="shared" si="4"/>
        <v>Seasonal / Temporary</v>
      </c>
    </row>
    <row r="28" spans="1:21" ht="15.6" x14ac:dyDescent="0.3">
      <c r="A28" s="3" t="s">
        <v>102</v>
      </c>
      <c r="B28" s="2" t="s">
        <v>103</v>
      </c>
      <c r="C28" s="2">
        <v>60</v>
      </c>
      <c r="D28" s="2">
        <v>0.85</v>
      </c>
      <c r="E28" s="2">
        <f>IFERROR(VLOOKUP(Table1[[#This Row],[Slotting_Zone_Recommended]],LEGEND!$L$2:$M$5,2,FALSE),"")</f>
        <v>10</v>
      </c>
      <c r="F28" s="42">
        <f t="shared" si="0"/>
        <v>11.764705882352942</v>
      </c>
      <c r="G28" s="42">
        <f t="shared" si="1"/>
        <v>5.0999999999999996</v>
      </c>
      <c r="H28" s="42" t="str">
        <f t="shared" si="2"/>
        <v>Over Capacity</v>
      </c>
      <c r="I28" s="2">
        <v>7.2</v>
      </c>
      <c r="J28" s="2" t="s">
        <v>104</v>
      </c>
      <c r="K28" s="2" t="s">
        <v>37</v>
      </c>
      <c r="L28" s="4" t="s">
        <v>38</v>
      </c>
      <c r="M28" s="2" t="s">
        <v>123</v>
      </c>
      <c r="N28" s="1" t="s">
        <v>118</v>
      </c>
      <c r="O28" s="12" t="s">
        <v>119</v>
      </c>
      <c r="P28" s="2" t="str">
        <f>VLOOKUP(A28, 'Calculations 1'!$A$2:$D$31, 2, FALSE)</f>
        <v>Electrical</v>
      </c>
      <c r="Q28" s="21" t="str">
        <f>VLOOKUP(A28, 'Calculations 1'!$A$2:$D$31, 3, FALSE)</f>
        <v>Each</v>
      </c>
      <c r="R28" s="21" t="str">
        <f>VLOOKUP(A28, 'Calculations 1'!$A$2:$D$31, 4, FALSE)</f>
        <v>N</v>
      </c>
      <c r="S28" s="21" t="str">
        <f>VLOOKUP(Table1[[#This Row],[SKU]],'Calculations 2'!$A$2:$E$31,5,FALSE)</f>
        <v>C</v>
      </c>
      <c r="T28" s="33" t="str">
        <f t="shared" si="3"/>
        <v>Reserve</v>
      </c>
      <c r="U28" s="33" t="str">
        <f t="shared" si="4"/>
        <v>Seasonal / Temporary</v>
      </c>
    </row>
    <row r="29" spans="1:21" ht="15.6" x14ac:dyDescent="0.3">
      <c r="A29" s="3" t="s">
        <v>105</v>
      </c>
      <c r="B29" s="2" t="s">
        <v>106</v>
      </c>
      <c r="C29" s="2">
        <v>160</v>
      </c>
      <c r="D29" s="2">
        <v>0.3</v>
      </c>
      <c r="E29" s="2">
        <f>IFERROR(VLOOKUP(Table1[[#This Row],[Slotting_Zone_Recommended]],LEGEND!$L$2:$M$5,2,FALSE),"")</f>
        <v>3</v>
      </c>
      <c r="F29" s="42">
        <f t="shared" si="0"/>
        <v>10</v>
      </c>
      <c r="G29" s="42">
        <f t="shared" si="1"/>
        <v>16</v>
      </c>
      <c r="H29" s="42" t="str">
        <f t="shared" si="2"/>
        <v>Over Capacity</v>
      </c>
      <c r="I29" s="2">
        <v>4</v>
      </c>
      <c r="J29" s="2" t="s">
        <v>107</v>
      </c>
      <c r="K29" s="2" t="s">
        <v>29</v>
      </c>
      <c r="L29" s="4" t="s">
        <v>30</v>
      </c>
      <c r="M29" s="2" t="s">
        <v>125</v>
      </c>
      <c r="N29" s="1" t="s">
        <v>124</v>
      </c>
      <c r="O29" s="12" t="s">
        <v>119</v>
      </c>
      <c r="P29" s="2" t="str">
        <f>VLOOKUP(A29, 'Calculations 1'!$A$2:$D$31, 2, FALSE)</f>
        <v>Safety</v>
      </c>
      <c r="Q29" s="21" t="str">
        <f>VLOOKUP(A29, 'Calculations 1'!$A$2:$D$31, 3, FALSE)</f>
        <v>Case</v>
      </c>
      <c r="R29" s="21" t="str">
        <f>VLOOKUP(A29, 'Calculations 1'!$A$2:$D$31, 4, FALSE)</f>
        <v>N</v>
      </c>
      <c r="S29" s="21" t="str">
        <f>VLOOKUP(Table1[[#This Row],[SKU]],'Calculations 2'!$A$2:$E$31,5,FALSE)</f>
        <v>A</v>
      </c>
      <c r="T29" s="33" t="str">
        <f t="shared" si="3"/>
        <v>Fast</v>
      </c>
      <c r="U29" s="33" t="str">
        <f t="shared" si="4"/>
        <v>Seasonal / Temporary</v>
      </c>
    </row>
    <row r="30" spans="1:21" ht="15.6" x14ac:dyDescent="0.3">
      <c r="A30" s="3" t="s">
        <v>108</v>
      </c>
      <c r="B30" s="2" t="s">
        <v>109</v>
      </c>
      <c r="C30" s="2">
        <v>175</v>
      </c>
      <c r="D30" s="2">
        <v>0.12</v>
      </c>
      <c r="E30" s="2">
        <f>IFERROR(VLOOKUP(Table1[[#This Row],[Slotting_Zone_Recommended]],LEGEND!$L$2:$M$5,2,FALSE),"")</f>
        <v>12</v>
      </c>
      <c r="F30" s="42">
        <f t="shared" si="0"/>
        <v>100</v>
      </c>
      <c r="G30" s="42">
        <f t="shared" si="1"/>
        <v>1.75</v>
      </c>
      <c r="H30" s="42" t="str">
        <f t="shared" si="2"/>
        <v>Hazmat Risk</v>
      </c>
      <c r="I30" s="2">
        <v>1.4</v>
      </c>
      <c r="J30" s="2" t="s">
        <v>110</v>
      </c>
      <c r="K30" s="2" t="s">
        <v>21</v>
      </c>
      <c r="L30" s="4" t="s">
        <v>30</v>
      </c>
      <c r="M30" s="2" t="s">
        <v>127</v>
      </c>
      <c r="N30" s="1" t="s">
        <v>118</v>
      </c>
      <c r="O30" s="12" t="s">
        <v>128</v>
      </c>
      <c r="P30" s="2" t="str">
        <f>VLOOKUP(A30, 'Calculations 1'!$A$2:$D$31, 2, FALSE)</f>
        <v>Sealants</v>
      </c>
      <c r="Q30" s="21" t="str">
        <f>VLOOKUP(A30, 'Calculations 1'!$A$2:$D$31, 3, FALSE)</f>
        <v>Each</v>
      </c>
      <c r="R30" s="21" t="str">
        <f>VLOOKUP(A30, 'Calculations 1'!$A$2:$D$31, 4, FALSE)</f>
        <v>Y</v>
      </c>
      <c r="S30" s="21" t="str">
        <f>VLOOKUP(Table1[[#This Row],[SKU]],'Calculations 2'!$A$2:$E$31,5,FALSE)</f>
        <v>A</v>
      </c>
      <c r="T30" s="33" t="str">
        <f t="shared" si="3"/>
        <v>Reserve – Hazmat</v>
      </c>
      <c r="U30" s="33" t="str">
        <f t="shared" si="4"/>
        <v>Core</v>
      </c>
    </row>
    <row r="31" spans="1:21" ht="15.6" x14ac:dyDescent="0.3">
      <c r="A31" s="8" t="s">
        <v>111</v>
      </c>
      <c r="B31" s="9" t="s">
        <v>112</v>
      </c>
      <c r="C31" s="9">
        <v>155</v>
      </c>
      <c r="D31" s="9">
        <v>0.14000000000000001</v>
      </c>
      <c r="E31" s="2">
        <f>IFERROR(VLOOKUP(Table1[[#This Row],[Slotting_Zone_Recommended]],LEGEND!$L$2:$M$5,2,FALSE),"")</f>
        <v>12</v>
      </c>
      <c r="F31" s="43">
        <f t="shared" si="0"/>
        <v>85.714285714285708</v>
      </c>
      <c r="G31" s="43">
        <f t="shared" si="1"/>
        <v>1.8083333333333336</v>
      </c>
      <c r="H31" s="43" t="str">
        <f t="shared" si="2"/>
        <v>Hazmat Risk</v>
      </c>
      <c r="I31" s="9">
        <v>1.6</v>
      </c>
      <c r="J31" s="9" t="s">
        <v>113</v>
      </c>
      <c r="K31" s="9" t="s">
        <v>21</v>
      </c>
      <c r="L31" s="10" t="s">
        <v>30</v>
      </c>
      <c r="M31" s="9" t="s">
        <v>127</v>
      </c>
      <c r="N31" s="17" t="s">
        <v>118</v>
      </c>
      <c r="O31" s="18" t="s">
        <v>128</v>
      </c>
      <c r="P31" s="9" t="str">
        <f>VLOOKUP(A31, 'Calculations 1'!$A$2:$D$31, 2, FALSE)</f>
        <v>Sealants</v>
      </c>
      <c r="Q31" s="21" t="str">
        <f>VLOOKUP(A31, 'Calculations 1'!$A$2:$D$31, 3, FALSE)</f>
        <v>Each</v>
      </c>
      <c r="R31" s="21" t="str">
        <f>VLOOKUP(A31, 'Calculations 1'!$A$2:$D$31, 4, FALSE)</f>
        <v>Y</v>
      </c>
      <c r="S31" s="21" t="str">
        <f>VLOOKUP(Table1[[#This Row],[SKU]],'Calculations 2'!$A$2:$E$31,5,FALSE)</f>
        <v>B</v>
      </c>
      <c r="T31" s="33" t="str">
        <f t="shared" si="3"/>
        <v>Reserve – Hazmat</v>
      </c>
      <c r="U31" s="33" t="str">
        <f t="shared" si="4"/>
        <v>Core</v>
      </c>
    </row>
  </sheetData>
  <phoneticPr fontId="4" type="noConversion"/>
  <conditionalFormatting sqref="E1:E1048576">
    <cfRule type="cellIs" dxfId="1" priority="3" operator="equal">
      <formula>12</formula>
    </cfRule>
    <cfRule type="cellIs" priority="4" operator="equal">
      <formula>12</formula>
    </cfRule>
  </conditionalFormatting>
  <conditionalFormatting sqref="G1:H1048576">
    <cfRule type="colorScale" priority="1">
      <colorScale>
        <cfvo type="num" val="0"/>
        <cfvo type="num" val="2"/>
        <cfvo type="num" val="5"/>
        <color theme="9"/>
        <color rgb="FFFFEB84"/>
        <color rgb="FFFF0000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D27EC0F-C9A6-4ACC-8F67-1CA6D68E776B}">
          <x14:formula1>
            <xm:f>LEGEND!$D$2:$D$8</xm:f>
          </x14:formula1>
          <xm:sqref>M2:M4 M7 M14:M21 M25:M26 M31</xm:sqref>
        </x14:dataValidation>
        <x14:dataValidation type="list" allowBlank="1" showInputMessage="1" showErrorMessage="1" xr:uid="{4E7804C2-479B-418E-BDD5-CA8E982E2173}">
          <x14:formula1>
            <xm:f>LEGEND!$E$2:$E$4</xm:f>
          </x14:formula1>
          <xm:sqref>N2:N31</xm:sqref>
        </x14:dataValidation>
        <x14:dataValidation type="list" allowBlank="1" showInputMessage="1" showErrorMessage="1" xr:uid="{B9C57FC4-35B3-4740-8373-5182686B6ED3}">
          <x14:formula1>
            <xm:f>LEGEND!$F$2:$F$3</xm:f>
          </x14:formula1>
          <xm:sqref>O2:O31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2D48-8FBB-4FCA-8384-76FC90D1AE49}">
  <dimension ref="A1:G31"/>
  <sheetViews>
    <sheetView workbookViewId="0">
      <selection activeCell="D35" sqref="D35"/>
    </sheetView>
  </sheetViews>
  <sheetFormatPr defaultColWidth="16.44140625" defaultRowHeight="14.4" x14ac:dyDescent="0.3"/>
  <sheetData>
    <row r="1" spans="1:7" x14ac:dyDescent="0.3">
      <c r="A1" s="13" t="s">
        <v>3</v>
      </c>
      <c r="B1" s="14" t="s">
        <v>114</v>
      </c>
      <c r="C1" s="14" t="s">
        <v>115</v>
      </c>
      <c r="D1" s="14" t="s">
        <v>116</v>
      </c>
      <c r="E1" s="14" t="s">
        <v>7</v>
      </c>
      <c r="F1" s="14" t="s">
        <v>145</v>
      </c>
      <c r="G1" s="15" t="s">
        <v>146</v>
      </c>
    </row>
    <row r="2" spans="1:7" ht="15.6" x14ac:dyDescent="0.3">
      <c r="A2" s="3" t="s">
        <v>18</v>
      </c>
      <c r="B2" s="1" t="s">
        <v>117</v>
      </c>
      <c r="C2" s="1" t="s">
        <v>118</v>
      </c>
      <c r="D2" s="1" t="s">
        <v>119</v>
      </c>
      <c r="E2" s="24"/>
      <c r="F2" s="24"/>
      <c r="G2" s="25"/>
    </row>
    <row r="3" spans="1:7" ht="15.6" x14ac:dyDescent="0.3">
      <c r="A3" s="11" t="s">
        <v>23</v>
      </c>
      <c r="B3" s="1" t="s">
        <v>117</v>
      </c>
      <c r="C3" s="1" t="s">
        <v>118</v>
      </c>
      <c r="D3" s="1" t="s">
        <v>119</v>
      </c>
      <c r="E3" s="24"/>
      <c r="F3" s="24"/>
      <c r="G3" s="25"/>
    </row>
    <row r="4" spans="1:7" ht="15.6" x14ac:dyDescent="0.3">
      <c r="A4" s="3" t="s">
        <v>26</v>
      </c>
      <c r="B4" s="1" t="s">
        <v>120</v>
      </c>
      <c r="C4" s="1" t="s">
        <v>118</v>
      </c>
      <c r="D4" s="1" t="s">
        <v>119</v>
      </c>
      <c r="E4" s="24"/>
      <c r="F4" s="24"/>
      <c r="G4" s="25"/>
    </row>
    <row r="5" spans="1:7" ht="15.6" x14ac:dyDescent="0.3">
      <c r="A5" s="11" t="s">
        <v>31</v>
      </c>
      <c r="B5" s="1" t="s">
        <v>120</v>
      </c>
      <c r="C5" s="1" t="s">
        <v>118</v>
      </c>
      <c r="D5" s="1" t="s">
        <v>119</v>
      </c>
      <c r="E5" s="24"/>
      <c r="F5" s="24"/>
      <c r="G5" s="25"/>
    </row>
    <row r="6" spans="1:7" ht="15.6" x14ac:dyDescent="0.3">
      <c r="A6" s="3" t="s">
        <v>34</v>
      </c>
      <c r="B6" s="1" t="s">
        <v>121</v>
      </c>
      <c r="C6" s="1" t="s">
        <v>118</v>
      </c>
      <c r="D6" s="1" t="s">
        <v>119</v>
      </c>
      <c r="E6" s="24"/>
      <c r="F6" s="24"/>
      <c r="G6" s="25"/>
    </row>
    <row r="7" spans="1:7" ht="15.6" x14ac:dyDescent="0.3">
      <c r="A7" s="11" t="s">
        <v>39</v>
      </c>
      <c r="B7" s="1" t="s">
        <v>117</v>
      </c>
      <c r="C7" s="1" t="s">
        <v>118</v>
      </c>
      <c r="D7" s="1" t="s">
        <v>119</v>
      </c>
      <c r="E7" s="24"/>
      <c r="F7" s="24"/>
      <c r="G7" s="25"/>
    </row>
    <row r="8" spans="1:7" ht="15.6" x14ac:dyDescent="0.3">
      <c r="A8" s="3" t="s">
        <v>42</v>
      </c>
      <c r="B8" s="1" t="s">
        <v>117</v>
      </c>
      <c r="C8" s="1" t="s">
        <v>118</v>
      </c>
      <c r="D8" s="1" t="s">
        <v>119</v>
      </c>
      <c r="E8" s="24"/>
      <c r="F8" s="24"/>
      <c r="G8" s="25"/>
    </row>
    <row r="9" spans="1:7" ht="15.6" x14ac:dyDescent="0.3">
      <c r="A9" s="11" t="s">
        <v>45</v>
      </c>
      <c r="B9" s="1" t="s">
        <v>117</v>
      </c>
      <c r="C9" s="1" t="s">
        <v>118</v>
      </c>
      <c r="D9" s="1" t="s">
        <v>119</v>
      </c>
      <c r="E9" s="24"/>
      <c r="F9" s="24"/>
      <c r="G9" s="25"/>
    </row>
    <row r="10" spans="1:7" ht="15.6" x14ac:dyDescent="0.3">
      <c r="A10" s="3" t="s">
        <v>48</v>
      </c>
      <c r="B10" s="1" t="s">
        <v>120</v>
      </c>
      <c r="C10" s="1" t="s">
        <v>122</v>
      </c>
      <c r="D10" s="1" t="s">
        <v>119</v>
      </c>
      <c r="E10" s="24"/>
      <c r="F10" s="24"/>
      <c r="G10" s="25"/>
    </row>
    <row r="11" spans="1:7" ht="15.6" x14ac:dyDescent="0.3">
      <c r="A11" s="11" t="s">
        <v>51</v>
      </c>
      <c r="B11" s="1" t="s">
        <v>123</v>
      </c>
      <c r="C11" s="1" t="s">
        <v>122</v>
      </c>
      <c r="D11" s="1" t="s">
        <v>119</v>
      </c>
      <c r="E11" s="24"/>
      <c r="F11" s="24"/>
      <c r="G11" s="25"/>
    </row>
    <row r="12" spans="1:7" ht="15.6" x14ac:dyDescent="0.3">
      <c r="A12" s="3" t="s">
        <v>54</v>
      </c>
      <c r="B12" s="1" t="s">
        <v>123</v>
      </c>
      <c r="C12" s="1" t="s">
        <v>124</v>
      </c>
      <c r="D12" s="1" t="s">
        <v>119</v>
      </c>
      <c r="E12" s="24"/>
      <c r="F12" s="24"/>
      <c r="G12" s="25"/>
    </row>
    <row r="13" spans="1:7" ht="15.6" x14ac:dyDescent="0.3">
      <c r="A13" s="11" t="s">
        <v>57</v>
      </c>
      <c r="B13" s="1" t="s">
        <v>123</v>
      </c>
      <c r="C13" s="1" t="s">
        <v>118</v>
      </c>
      <c r="D13" s="1" t="s">
        <v>119</v>
      </c>
      <c r="E13" s="24"/>
      <c r="F13" s="24"/>
      <c r="G13" s="25"/>
    </row>
    <row r="14" spans="1:7" ht="15.6" x14ac:dyDescent="0.3">
      <c r="A14" s="3" t="s">
        <v>60</v>
      </c>
      <c r="B14" s="1" t="s">
        <v>125</v>
      </c>
      <c r="C14" s="1" t="s">
        <v>124</v>
      </c>
      <c r="D14" s="1" t="s">
        <v>119</v>
      </c>
      <c r="E14" s="24"/>
      <c r="F14" s="24"/>
      <c r="G14" s="25"/>
    </row>
    <row r="15" spans="1:7" ht="15.6" x14ac:dyDescent="0.3">
      <c r="A15" s="11" t="s">
        <v>63</v>
      </c>
      <c r="B15" s="1" t="s">
        <v>125</v>
      </c>
      <c r="C15" s="1" t="s">
        <v>118</v>
      </c>
      <c r="D15" s="1" t="s">
        <v>119</v>
      </c>
      <c r="E15" s="24"/>
      <c r="F15" s="24"/>
      <c r="G15" s="25"/>
    </row>
    <row r="16" spans="1:7" ht="15.6" x14ac:dyDescent="0.3">
      <c r="A16" s="3" t="s">
        <v>66</v>
      </c>
      <c r="B16" s="1" t="s">
        <v>125</v>
      </c>
      <c r="C16" s="1" t="s">
        <v>118</v>
      </c>
      <c r="D16" s="1" t="s">
        <v>119</v>
      </c>
      <c r="E16" s="24"/>
      <c r="F16" s="24"/>
      <c r="G16" s="25"/>
    </row>
    <row r="17" spans="1:7" ht="15.6" x14ac:dyDescent="0.3">
      <c r="A17" s="11" t="s">
        <v>69</v>
      </c>
      <c r="B17" s="1" t="s">
        <v>121</v>
      </c>
      <c r="C17" s="1" t="s">
        <v>118</v>
      </c>
      <c r="D17" s="1" t="s">
        <v>119</v>
      </c>
      <c r="E17" s="24"/>
      <c r="F17" s="24"/>
      <c r="G17" s="25"/>
    </row>
    <row r="18" spans="1:7" ht="15.6" x14ac:dyDescent="0.3">
      <c r="A18" s="3" t="s">
        <v>72</v>
      </c>
      <c r="B18" s="1" t="s">
        <v>121</v>
      </c>
      <c r="C18" s="1" t="s">
        <v>118</v>
      </c>
      <c r="D18" s="1" t="s">
        <v>119</v>
      </c>
      <c r="E18" s="24"/>
      <c r="F18" s="24"/>
      <c r="G18" s="25"/>
    </row>
    <row r="19" spans="1:7" ht="15.6" x14ac:dyDescent="0.3">
      <c r="A19" s="11" t="s">
        <v>75</v>
      </c>
      <c r="B19" s="1" t="s">
        <v>121</v>
      </c>
      <c r="C19" s="1" t="s">
        <v>124</v>
      </c>
      <c r="D19" s="1" t="s">
        <v>119</v>
      </c>
      <c r="E19" s="24"/>
      <c r="F19" s="24"/>
      <c r="G19" s="25"/>
    </row>
    <row r="20" spans="1:7" ht="15.6" x14ac:dyDescent="0.3">
      <c r="A20" s="3" t="s">
        <v>78</v>
      </c>
      <c r="B20" s="1" t="s">
        <v>121</v>
      </c>
      <c r="C20" s="1" t="s">
        <v>124</v>
      </c>
      <c r="D20" s="1" t="s">
        <v>119</v>
      </c>
      <c r="E20" s="24"/>
      <c r="F20" s="24"/>
      <c r="G20" s="25"/>
    </row>
    <row r="21" spans="1:7" ht="15.6" x14ac:dyDescent="0.3">
      <c r="A21" s="11" t="s">
        <v>81</v>
      </c>
      <c r="B21" s="1" t="s">
        <v>121</v>
      </c>
      <c r="C21" s="1" t="s">
        <v>124</v>
      </c>
      <c r="D21" s="1" t="s">
        <v>119</v>
      </c>
      <c r="E21" s="24"/>
      <c r="F21" s="24"/>
      <c r="G21" s="25"/>
    </row>
    <row r="22" spans="1:7" ht="15.6" x14ac:dyDescent="0.3">
      <c r="A22" s="3" t="s">
        <v>84</v>
      </c>
      <c r="B22" s="1" t="s">
        <v>117</v>
      </c>
      <c r="C22" s="1" t="s">
        <v>118</v>
      </c>
      <c r="D22" s="1" t="s">
        <v>119</v>
      </c>
      <c r="E22" s="24"/>
      <c r="F22" s="24"/>
      <c r="G22" s="25"/>
    </row>
    <row r="23" spans="1:7" ht="15.6" x14ac:dyDescent="0.3">
      <c r="A23" s="11" t="s">
        <v>87</v>
      </c>
      <c r="B23" s="1" t="s">
        <v>117</v>
      </c>
      <c r="C23" s="1" t="s">
        <v>118</v>
      </c>
      <c r="D23" s="1" t="s">
        <v>119</v>
      </c>
      <c r="E23" s="24"/>
      <c r="F23" s="24"/>
      <c r="G23" s="25"/>
    </row>
    <row r="24" spans="1:7" ht="15.6" x14ac:dyDescent="0.3">
      <c r="A24" s="3" t="s">
        <v>90</v>
      </c>
      <c r="B24" s="1" t="s">
        <v>117</v>
      </c>
      <c r="C24" s="1" t="s">
        <v>124</v>
      </c>
      <c r="D24" s="1" t="s">
        <v>119</v>
      </c>
      <c r="E24" s="24"/>
      <c r="F24" s="24"/>
      <c r="G24" s="25"/>
    </row>
    <row r="25" spans="1:7" ht="15.6" x14ac:dyDescent="0.3">
      <c r="A25" s="11" t="s">
        <v>93</v>
      </c>
      <c r="B25" s="1" t="s">
        <v>126</v>
      </c>
      <c r="C25" s="1" t="s">
        <v>118</v>
      </c>
      <c r="D25" s="1" t="s">
        <v>119</v>
      </c>
      <c r="E25" s="24"/>
      <c r="F25" s="24"/>
      <c r="G25" s="25"/>
    </row>
    <row r="26" spans="1:7" ht="15.6" x14ac:dyDescent="0.3">
      <c r="A26" s="3" t="s">
        <v>96</v>
      </c>
      <c r="B26" s="1" t="s">
        <v>126</v>
      </c>
      <c r="C26" s="1" t="s">
        <v>118</v>
      </c>
      <c r="D26" s="1" t="s">
        <v>119</v>
      </c>
      <c r="E26" s="24"/>
      <c r="F26" s="24"/>
      <c r="G26" s="25"/>
    </row>
    <row r="27" spans="1:7" ht="15.6" x14ac:dyDescent="0.3">
      <c r="A27" s="11" t="s">
        <v>99</v>
      </c>
      <c r="B27" s="1" t="s">
        <v>123</v>
      </c>
      <c r="C27" s="1" t="s">
        <v>118</v>
      </c>
      <c r="D27" s="1" t="s">
        <v>119</v>
      </c>
      <c r="E27" s="24"/>
      <c r="F27" s="24"/>
      <c r="G27" s="25"/>
    </row>
    <row r="28" spans="1:7" ht="15.6" x14ac:dyDescent="0.3">
      <c r="A28" s="3" t="s">
        <v>102</v>
      </c>
      <c r="B28" s="1" t="s">
        <v>123</v>
      </c>
      <c r="C28" s="1" t="s">
        <v>118</v>
      </c>
      <c r="D28" s="1" t="s">
        <v>119</v>
      </c>
      <c r="E28" s="24"/>
      <c r="F28" s="24"/>
      <c r="G28" s="25"/>
    </row>
    <row r="29" spans="1:7" ht="15.6" x14ac:dyDescent="0.3">
      <c r="A29" s="11" t="s">
        <v>105</v>
      </c>
      <c r="B29" s="1" t="s">
        <v>125</v>
      </c>
      <c r="C29" s="1" t="s">
        <v>124</v>
      </c>
      <c r="D29" s="1" t="s">
        <v>119</v>
      </c>
      <c r="E29" s="24"/>
      <c r="F29" s="24"/>
      <c r="G29" s="25"/>
    </row>
    <row r="30" spans="1:7" ht="15.6" x14ac:dyDescent="0.3">
      <c r="A30" s="3" t="s">
        <v>108</v>
      </c>
      <c r="B30" s="1" t="s">
        <v>127</v>
      </c>
      <c r="C30" s="1" t="s">
        <v>118</v>
      </c>
      <c r="D30" s="1" t="s">
        <v>128</v>
      </c>
      <c r="E30" s="24"/>
      <c r="F30" s="24"/>
      <c r="G30" s="25"/>
    </row>
    <row r="31" spans="1:7" x14ac:dyDescent="0.3">
      <c r="A31" s="16" t="s">
        <v>111</v>
      </c>
      <c r="B31" s="17" t="s">
        <v>127</v>
      </c>
      <c r="C31" s="17" t="s">
        <v>118</v>
      </c>
      <c r="D31" s="17" t="s">
        <v>128</v>
      </c>
      <c r="E31" s="26"/>
      <c r="F31" s="26"/>
      <c r="G31" s="2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1AF0-DF69-468D-B395-BA2571C2F4A8}">
  <dimension ref="A1:E31"/>
  <sheetViews>
    <sheetView workbookViewId="0">
      <selection activeCell="E2" sqref="E2"/>
    </sheetView>
  </sheetViews>
  <sheetFormatPr defaultColWidth="16.44140625" defaultRowHeight="14.4" x14ac:dyDescent="0.3"/>
  <cols>
    <col min="3" max="3" width="16.44140625" style="22"/>
    <col min="10" max="10" width="45.44140625" bestFit="1" customWidth="1"/>
  </cols>
  <sheetData>
    <row r="1" spans="1:5" x14ac:dyDescent="0.3">
      <c r="A1" s="27" t="s">
        <v>3</v>
      </c>
      <c r="B1" s="28" t="s">
        <v>7</v>
      </c>
      <c r="C1" s="31" t="s">
        <v>145</v>
      </c>
      <c r="D1" s="29" t="s">
        <v>146</v>
      </c>
      <c r="E1" s="28" t="s">
        <v>147</v>
      </c>
    </row>
    <row r="2" spans="1:5" ht="15.6" x14ac:dyDescent="0.3">
      <c r="A2" s="2" t="s">
        <v>18</v>
      </c>
      <c r="B2" s="24">
        <f>VLOOKUP(A2,Data_Raw!$A:$C,3,FALSE)</f>
        <v>420</v>
      </c>
      <c r="C2" s="32">
        <f>B2/SUM($B$2:$B$31)</f>
        <v>8.8794926004228336E-2</v>
      </c>
      <c r="D2" s="32">
        <f>SUM($C$2:C2)</f>
        <v>8.8794926004228336E-2</v>
      </c>
      <c r="E2" s="24" t="str">
        <f>IF(D2&lt;=0.7,"A",IF(D2&lt;=0.9,"B","C"))</f>
        <v>A</v>
      </c>
    </row>
    <row r="3" spans="1:5" ht="15.6" x14ac:dyDescent="0.3">
      <c r="A3" s="30" t="s">
        <v>39</v>
      </c>
      <c r="B3" s="24">
        <f>VLOOKUP(A3,Data_Raw!$A:$C,3,FALSE)</f>
        <v>410</v>
      </c>
      <c r="C3" s="32">
        <f>B3/SUM($B$2:$B$31)</f>
        <v>8.6680761099365747E-2</v>
      </c>
      <c r="D3" s="32">
        <f>SUM($C$2:C3)</f>
        <v>0.17547568710359407</v>
      </c>
      <c r="E3" s="24" t="str">
        <f>IF(D3&lt;=0.7,"A",IF(D3&lt;=0.9,"B","C"))</f>
        <v>A</v>
      </c>
    </row>
    <row r="4" spans="1:5" ht="15.6" x14ac:dyDescent="0.3">
      <c r="A4" s="30" t="s">
        <v>23</v>
      </c>
      <c r="B4" s="24">
        <f>VLOOKUP(A4,Data_Raw!$A:$C,3,FALSE)</f>
        <v>380</v>
      </c>
      <c r="C4" s="32">
        <f>B4/SUM($B$2:$B$31)</f>
        <v>8.0338266384778007E-2</v>
      </c>
      <c r="D4" s="32">
        <f>SUM($C$2:C4)</f>
        <v>0.2558139534883721</v>
      </c>
      <c r="E4" s="24" t="str">
        <f>IF(D4&lt;=0.7,"A",IF(D4&lt;=0.9,"B","C"))</f>
        <v>A</v>
      </c>
    </row>
    <row r="5" spans="1:5" ht="15.6" x14ac:dyDescent="0.3">
      <c r="A5" s="2" t="s">
        <v>42</v>
      </c>
      <c r="B5" s="24">
        <f>VLOOKUP(A5,Data_Raw!$A:$C,3,FALSE)</f>
        <v>360</v>
      </c>
      <c r="C5" s="32">
        <f>B5/SUM($B$2:$B$31)</f>
        <v>7.6109936575052856E-2</v>
      </c>
      <c r="D5" s="32">
        <f>SUM($C$2:C5)</f>
        <v>0.33192389006342493</v>
      </c>
      <c r="E5" s="24" t="str">
        <f>IF(D5&lt;=0.7,"A",IF(D5&lt;=0.9,"B","C"))</f>
        <v>A</v>
      </c>
    </row>
    <row r="6" spans="1:5" ht="15.6" x14ac:dyDescent="0.3">
      <c r="A6" s="2" t="s">
        <v>54</v>
      </c>
      <c r="B6" s="24">
        <f>VLOOKUP(A6,Data_Raw!$A:$C,3,FALSE)</f>
        <v>260</v>
      </c>
      <c r="C6" s="32">
        <f>B6/SUM($B$2:$B$31)</f>
        <v>5.4968287526427059E-2</v>
      </c>
      <c r="D6" s="32">
        <f>SUM($C$2:C6)</f>
        <v>0.386892177589852</v>
      </c>
      <c r="E6" s="24" t="str">
        <f>IF(D6&lt;=0.7,"A",IF(D6&lt;=0.9,"B","C"))</f>
        <v>A</v>
      </c>
    </row>
    <row r="7" spans="1:5" ht="15.6" x14ac:dyDescent="0.3">
      <c r="A7" s="30" t="s">
        <v>57</v>
      </c>
      <c r="B7" s="24">
        <f>VLOOKUP(A7,Data_Raw!$A:$C,3,FALSE)</f>
        <v>240</v>
      </c>
      <c r="C7" s="32">
        <f>B7/SUM($B$2:$B$31)</f>
        <v>5.0739957716701901E-2</v>
      </c>
      <c r="D7" s="32">
        <f>SUM($C$2:C7)</f>
        <v>0.43763213530655393</v>
      </c>
      <c r="E7" s="24" t="str">
        <f>IF(D7&lt;=0.7,"A",IF(D7&lt;=0.9,"B","C"))</f>
        <v>A</v>
      </c>
    </row>
    <row r="8" spans="1:5" ht="15.6" x14ac:dyDescent="0.3">
      <c r="A8" s="2" t="s">
        <v>90</v>
      </c>
      <c r="B8" s="24">
        <f>VLOOKUP(A8,Data_Raw!$A:$C,3,FALSE)</f>
        <v>230</v>
      </c>
      <c r="C8" s="32">
        <f>B8/SUM($B$2:$B$31)</f>
        <v>4.8625792811839326E-2</v>
      </c>
      <c r="D8" s="32">
        <f>SUM($C$2:C8)</f>
        <v>0.48625792811839325</v>
      </c>
      <c r="E8" s="24" t="str">
        <f>IF(D8&lt;=0.7,"A",IF(D8&lt;=0.9,"B","C"))</f>
        <v>A</v>
      </c>
    </row>
    <row r="9" spans="1:5" ht="15.6" x14ac:dyDescent="0.3">
      <c r="A9" s="2" t="s">
        <v>66</v>
      </c>
      <c r="B9" s="24">
        <f>VLOOKUP(A9,Data_Raw!$A:$C,3,FALSE)</f>
        <v>210</v>
      </c>
      <c r="C9" s="32">
        <f>B9/SUM($B$2:$B$31)</f>
        <v>4.4397463002114168E-2</v>
      </c>
      <c r="D9" s="32">
        <f>SUM($C$2:C9)</f>
        <v>0.53065539112050741</v>
      </c>
      <c r="E9" s="24" t="str">
        <f>IF(D9&lt;=0.7,"A",IF(D9&lt;=0.9,"B","C"))</f>
        <v>A</v>
      </c>
    </row>
    <row r="10" spans="1:5" ht="15.6" x14ac:dyDescent="0.3">
      <c r="A10" s="30" t="s">
        <v>87</v>
      </c>
      <c r="B10" s="24">
        <f>VLOOKUP(A10,Data_Raw!$A:$C,3,FALSE)</f>
        <v>190</v>
      </c>
      <c r="C10" s="32">
        <f>B10/SUM($B$2:$B$31)</f>
        <v>4.0169133192389003E-2</v>
      </c>
      <c r="D10" s="32">
        <f>SUM($C$2:C10)</f>
        <v>0.57082452431289643</v>
      </c>
      <c r="E10" s="24" t="str">
        <f>IF(D10&lt;=0.7,"A",IF(D10&lt;=0.9,"B","C"))</f>
        <v>A</v>
      </c>
    </row>
    <row r="11" spans="1:5" ht="15.6" x14ac:dyDescent="0.3">
      <c r="A11" s="2" t="s">
        <v>60</v>
      </c>
      <c r="B11" s="24">
        <f>VLOOKUP(A11,Data_Raw!$A:$C,3,FALSE)</f>
        <v>180</v>
      </c>
      <c r="C11" s="32">
        <f>B11/SUM($B$2:$B$31)</f>
        <v>3.8054968287526428E-2</v>
      </c>
      <c r="D11" s="32">
        <f>SUM($C$2:C11)</f>
        <v>0.60887949260042284</v>
      </c>
      <c r="E11" s="24" t="str">
        <f>IF(D11&lt;=0.7,"A",IF(D11&lt;=0.9,"B","C"))</f>
        <v>A</v>
      </c>
    </row>
    <row r="12" spans="1:5" ht="15.6" x14ac:dyDescent="0.3">
      <c r="A12" s="2" t="s">
        <v>108</v>
      </c>
      <c r="B12" s="24">
        <f>VLOOKUP(A12,Data_Raw!$A:$C,3,FALSE)</f>
        <v>175</v>
      </c>
      <c r="C12" s="32">
        <f>B12/SUM($B$2:$B$31)</f>
        <v>3.699788583509514E-2</v>
      </c>
      <c r="D12" s="32">
        <f>SUM($C$2:C12)</f>
        <v>0.64587737843551796</v>
      </c>
      <c r="E12" s="24" t="str">
        <f>IF(D12&lt;=0.7,"A",IF(D12&lt;=0.9,"B","C"))</f>
        <v>A</v>
      </c>
    </row>
    <row r="13" spans="1:5" ht="15.6" x14ac:dyDescent="0.3">
      <c r="A13" s="30" t="s">
        <v>105</v>
      </c>
      <c r="B13" s="24">
        <f>VLOOKUP(A13,Data_Raw!$A:$C,3,FALSE)</f>
        <v>160</v>
      </c>
      <c r="C13" s="32">
        <f>B13/SUM($B$2:$B$31)</f>
        <v>3.382663847780127E-2</v>
      </c>
      <c r="D13" s="32">
        <f>SUM($C$2:C13)</f>
        <v>0.67970401691331928</v>
      </c>
      <c r="E13" s="24" t="str">
        <f>IF(D13&lt;=0.7,"A",IF(D13&lt;=0.9,"B","C"))</f>
        <v>A</v>
      </c>
    </row>
    <row r="14" spans="1:5" x14ac:dyDescent="0.3">
      <c r="A14" s="1" t="s">
        <v>111</v>
      </c>
      <c r="B14" s="24">
        <f>VLOOKUP(A14,Data_Raw!$A:$C,3,FALSE)</f>
        <v>155</v>
      </c>
      <c r="C14" s="32">
        <f>B14/SUM($B$2:$B$31)</f>
        <v>3.2769556025369982E-2</v>
      </c>
      <c r="D14" s="32">
        <f>SUM($C$2:C14)</f>
        <v>0.71247357293868929</v>
      </c>
      <c r="E14" s="24" t="str">
        <f>IF(D14&lt;=0.7,"A",IF(D14&lt;=0.9,"B","C"))</f>
        <v>B</v>
      </c>
    </row>
    <row r="15" spans="1:5" ht="15.6" x14ac:dyDescent="0.3">
      <c r="A15" s="2" t="s">
        <v>84</v>
      </c>
      <c r="B15" s="24">
        <f>VLOOKUP(A15,Data_Raw!$A:$C,3,FALSE)</f>
        <v>145</v>
      </c>
      <c r="C15" s="32">
        <f>B15/SUM($B$2:$B$31)</f>
        <v>3.06553911205074E-2</v>
      </c>
      <c r="D15" s="32">
        <f>SUM($C$2:C15)</f>
        <v>0.74312896405919671</v>
      </c>
      <c r="E15" s="24" t="str">
        <f>IF(D15&lt;=0.7,"A",IF(D15&lt;=0.9,"B","C"))</f>
        <v>B</v>
      </c>
    </row>
    <row r="16" spans="1:5" ht="15.6" x14ac:dyDescent="0.3">
      <c r="A16" s="2" t="s">
        <v>26</v>
      </c>
      <c r="B16" s="24">
        <f>VLOOKUP(A16,Data_Raw!$A:$C,3,FALSE)</f>
        <v>140</v>
      </c>
      <c r="C16" s="32">
        <f>B16/SUM($B$2:$B$31)</f>
        <v>2.9598308668076109E-2</v>
      </c>
      <c r="D16" s="32">
        <f>SUM($C$2:C16)</f>
        <v>0.77272727272727282</v>
      </c>
      <c r="E16" s="24" t="str">
        <f>IF(D16&lt;=0.7,"A",IF(D16&lt;=0.9,"B","C"))</f>
        <v>B</v>
      </c>
    </row>
    <row r="17" spans="1:5" ht="15.6" x14ac:dyDescent="0.3">
      <c r="A17" s="30" t="s">
        <v>45</v>
      </c>
      <c r="B17" s="24">
        <f>VLOOKUP(A17,Data_Raw!$A:$C,3,FALSE)</f>
        <v>120</v>
      </c>
      <c r="C17" s="32">
        <f>B17/SUM($B$2:$B$31)</f>
        <v>2.5369978858350951E-2</v>
      </c>
      <c r="D17" s="32">
        <f>SUM($C$2:C17)</f>
        <v>0.79809725158562372</v>
      </c>
      <c r="E17" s="24" t="str">
        <f>IF(D17&lt;=0.7,"A",IF(D17&lt;=0.9,"B","C"))</f>
        <v>B</v>
      </c>
    </row>
    <row r="18" spans="1:5" ht="15.6" x14ac:dyDescent="0.3">
      <c r="A18" s="2" t="s">
        <v>78</v>
      </c>
      <c r="B18" s="24">
        <f>VLOOKUP(A18,Data_Raw!$A:$C,3,FALSE)</f>
        <v>110</v>
      </c>
      <c r="C18" s="32">
        <f>B18/SUM($B$2:$B$31)</f>
        <v>2.3255813953488372E-2</v>
      </c>
      <c r="D18" s="32">
        <f>SUM($C$2:C18)</f>
        <v>0.82135306553911214</v>
      </c>
      <c r="E18" s="24" t="str">
        <f>IF(D18&lt;=0.7,"A",IF(D18&lt;=0.9,"B","C"))</f>
        <v>B</v>
      </c>
    </row>
    <row r="19" spans="1:5" ht="15.6" x14ac:dyDescent="0.3">
      <c r="A19" s="30" t="s">
        <v>31</v>
      </c>
      <c r="B19" s="24">
        <f>VLOOKUP(A19,Data_Raw!$A:$C,3,FALSE)</f>
        <v>95</v>
      </c>
      <c r="C19" s="32">
        <f>B19/SUM($B$2:$B$31)</f>
        <v>2.0084566596194502E-2</v>
      </c>
      <c r="D19" s="32">
        <f>SUM($C$2:C19)</f>
        <v>0.84143763213530665</v>
      </c>
      <c r="E19" s="24" t="str">
        <f>IF(D19&lt;=0.7,"A",IF(D19&lt;=0.9,"B","C"))</f>
        <v>B</v>
      </c>
    </row>
    <row r="20" spans="1:5" ht="15.6" x14ac:dyDescent="0.3">
      <c r="A20" s="30" t="s">
        <v>99</v>
      </c>
      <c r="B20" s="24">
        <f>VLOOKUP(A20,Data_Raw!$A:$C,3,FALSE)</f>
        <v>95</v>
      </c>
      <c r="C20" s="32">
        <f>B20/SUM($B$2:$B$31)</f>
        <v>2.0084566596194502E-2</v>
      </c>
      <c r="D20" s="32">
        <f>SUM($C$2:C20)</f>
        <v>0.86152219873150115</v>
      </c>
      <c r="E20" s="24" t="str">
        <f>IF(D20&lt;=0.7,"A",IF(D20&lt;=0.9,"B","C"))</f>
        <v>B</v>
      </c>
    </row>
    <row r="21" spans="1:5" ht="15.6" x14ac:dyDescent="0.3">
      <c r="A21" s="30" t="s">
        <v>51</v>
      </c>
      <c r="B21" s="24">
        <f>VLOOKUP(A21,Data_Raw!$A:$C,3,FALSE)</f>
        <v>90</v>
      </c>
      <c r="C21" s="32">
        <f>B21/SUM($B$2:$B$31)</f>
        <v>1.9027484143763214E-2</v>
      </c>
      <c r="D21" s="32">
        <f>SUM($C$2:C21)</f>
        <v>0.88054968287526436</v>
      </c>
      <c r="E21" s="24" t="str">
        <f>IF(D21&lt;=0.7,"A",IF(D21&lt;=0.9,"B","C"))</f>
        <v>B</v>
      </c>
    </row>
    <row r="22" spans="1:5" ht="15.6" x14ac:dyDescent="0.3">
      <c r="A22" s="2" t="s">
        <v>72</v>
      </c>
      <c r="B22" s="24">
        <f>VLOOKUP(A22,Data_Raw!$A:$C,3,FALSE)</f>
        <v>85</v>
      </c>
      <c r="C22" s="32">
        <f>B22/SUM($B$2:$B$31)</f>
        <v>1.7970401691331923E-2</v>
      </c>
      <c r="D22" s="32">
        <f>SUM($C$2:C22)</f>
        <v>0.89852008456659627</v>
      </c>
      <c r="E22" s="24" t="str">
        <f>IF(D22&lt;=0.7,"A",IF(D22&lt;=0.9,"B","C"))</f>
        <v>B</v>
      </c>
    </row>
    <row r="23" spans="1:5" ht="15.6" x14ac:dyDescent="0.3">
      <c r="A23" s="30" t="s">
        <v>63</v>
      </c>
      <c r="B23" s="24">
        <f>VLOOKUP(A23,Data_Raw!$A:$C,3,FALSE)</f>
        <v>75</v>
      </c>
      <c r="C23" s="32">
        <f>B23/SUM($B$2:$B$31)</f>
        <v>1.5856236786469344E-2</v>
      </c>
      <c r="D23" s="32">
        <f>SUM($C$2:C23)</f>
        <v>0.91437632135306557</v>
      </c>
      <c r="E23" s="24" t="str">
        <f>IF(D23&lt;=0.7,"A",IF(D23&lt;=0.9,"B","C"))</f>
        <v>C</v>
      </c>
    </row>
    <row r="24" spans="1:5" ht="15.6" x14ac:dyDescent="0.3">
      <c r="A24" s="30" t="s">
        <v>93</v>
      </c>
      <c r="B24" s="24">
        <f>VLOOKUP(A24,Data_Raw!$A:$C,3,FALSE)</f>
        <v>70</v>
      </c>
      <c r="C24" s="32">
        <f>B24/SUM($B$2:$B$31)</f>
        <v>1.4799154334038054E-2</v>
      </c>
      <c r="D24" s="32">
        <f>SUM($C$2:C24)</f>
        <v>0.92917547568710357</v>
      </c>
      <c r="E24" s="24" t="str">
        <f>IF(D24&lt;=0.7,"A",IF(D24&lt;=0.9,"B","C"))</f>
        <v>C</v>
      </c>
    </row>
    <row r="25" spans="1:5" ht="15.6" x14ac:dyDescent="0.3">
      <c r="A25" s="30" t="s">
        <v>69</v>
      </c>
      <c r="B25" s="24">
        <f>VLOOKUP(A25,Data_Raw!$A:$C,3,FALSE)</f>
        <v>65</v>
      </c>
      <c r="C25" s="32">
        <f>B25/SUM($B$2:$B$31)</f>
        <v>1.3742071881606765E-2</v>
      </c>
      <c r="D25" s="32">
        <f>SUM($C$2:C25)</f>
        <v>0.94291754756871038</v>
      </c>
      <c r="E25" s="24" t="str">
        <f>IF(D25&lt;=0.7,"A",IF(D25&lt;=0.9,"B","C"))</f>
        <v>C</v>
      </c>
    </row>
    <row r="26" spans="1:5" ht="15.6" x14ac:dyDescent="0.3">
      <c r="A26" s="2" t="s">
        <v>102</v>
      </c>
      <c r="B26" s="24">
        <f>VLOOKUP(A26,Data_Raw!$A:$C,3,FALSE)</f>
        <v>60</v>
      </c>
      <c r="C26" s="32">
        <f>B26/SUM($B$2:$B$31)</f>
        <v>1.2684989429175475E-2</v>
      </c>
      <c r="D26" s="32">
        <f>SUM($C$2:C26)</f>
        <v>0.95560253699788589</v>
      </c>
      <c r="E26" s="24" t="str">
        <f>IF(D26&lt;=0.7,"A",IF(D26&lt;=0.9,"B","C"))</f>
        <v>C</v>
      </c>
    </row>
    <row r="27" spans="1:5" ht="15.6" x14ac:dyDescent="0.3">
      <c r="A27" s="30" t="s">
        <v>81</v>
      </c>
      <c r="B27" s="24">
        <f>VLOOKUP(A27,Data_Raw!$A:$C,3,FALSE)</f>
        <v>55</v>
      </c>
      <c r="C27" s="32">
        <f>B27/SUM($B$2:$B$31)</f>
        <v>1.1627906976744186E-2</v>
      </c>
      <c r="D27" s="32">
        <f>SUM($C$2:C27)</f>
        <v>0.96723044397463009</v>
      </c>
      <c r="E27" s="24" t="str">
        <f>IF(D27&lt;=0.7,"A",IF(D27&lt;=0.9,"B","C"))</f>
        <v>C</v>
      </c>
    </row>
    <row r="28" spans="1:5" ht="15.6" x14ac:dyDescent="0.3">
      <c r="A28" s="2" t="s">
        <v>96</v>
      </c>
      <c r="B28" s="24">
        <f>VLOOKUP(A28,Data_Raw!$A:$C,3,FALSE)</f>
        <v>50</v>
      </c>
      <c r="C28" s="32">
        <f>B28/SUM($B$2:$B$31)</f>
        <v>1.0570824524312896E-2</v>
      </c>
      <c r="D28" s="32">
        <f>SUM($C$2:C28)</f>
        <v>0.977801268498943</v>
      </c>
      <c r="E28" s="24" t="str">
        <f>IF(D28&lt;=0.7,"A",IF(D28&lt;=0.9,"B","C"))</f>
        <v>C</v>
      </c>
    </row>
    <row r="29" spans="1:5" ht="15.6" x14ac:dyDescent="0.3">
      <c r="A29" s="2" t="s">
        <v>34</v>
      </c>
      <c r="B29" s="24">
        <f>VLOOKUP(A29,Data_Raw!$A:$C,3,FALSE)</f>
        <v>40</v>
      </c>
      <c r="C29" s="32">
        <f>B29/SUM($B$2:$B$31)</f>
        <v>8.4566596194503175E-3</v>
      </c>
      <c r="D29" s="32">
        <f>SUM($C$2:C29)</f>
        <v>0.9862579281183933</v>
      </c>
      <c r="E29" s="24" t="str">
        <f>IF(D29&lt;=0.7,"A",IF(D29&lt;=0.9,"B","C"))</f>
        <v>C</v>
      </c>
    </row>
    <row r="30" spans="1:5" ht="15.6" x14ac:dyDescent="0.3">
      <c r="A30" s="2" t="s">
        <v>48</v>
      </c>
      <c r="B30" s="24">
        <f>VLOOKUP(A30,Data_Raw!$A:$C,3,FALSE)</f>
        <v>35</v>
      </c>
      <c r="C30" s="32">
        <f>B30/SUM($B$2:$B$31)</f>
        <v>7.3995771670190271E-3</v>
      </c>
      <c r="D30" s="32">
        <f>SUM($C$2:C30)</f>
        <v>0.9936575052854123</v>
      </c>
      <c r="E30" s="24" t="str">
        <f>IF(D30&lt;=0.7,"A",IF(D30&lt;=0.9,"B","C"))</f>
        <v>C</v>
      </c>
    </row>
    <row r="31" spans="1:5" ht="15.6" x14ac:dyDescent="0.3">
      <c r="A31" s="30" t="s">
        <v>75</v>
      </c>
      <c r="B31" s="24">
        <f>VLOOKUP(A31,Data_Raw!$A:$C,3,FALSE)</f>
        <v>30</v>
      </c>
      <c r="C31" s="32">
        <f>B31/SUM($B$2:$B$31)</f>
        <v>6.3424947145877377E-3</v>
      </c>
      <c r="D31" s="32">
        <f>SUM($C$2:C31)</f>
        <v>1</v>
      </c>
      <c r="E31" s="24" t="str">
        <f>IF(D31&lt;=0.7,"A",IF(D31&lt;=0.9,"B","C"))</f>
        <v>C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F93E-E55B-462F-A19D-D6F326061957}">
  <dimension ref="A1:G29"/>
  <sheetViews>
    <sheetView workbookViewId="0">
      <selection activeCell="M16" sqref="M16"/>
    </sheetView>
  </sheetViews>
  <sheetFormatPr defaultRowHeight="14.4" x14ac:dyDescent="0.3"/>
  <cols>
    <col min="1" max="1" width="13.88671875" style="40" bestFit="1" customWidth="1"/>
    <col min="2" max="2" width="19.6640625" style="40" bestFit="1" customWidth="1"/>
    <col min="3" max="3" width="11.6640625" style="40" bestFit="1" customWidth="1"/>
    <col min="4" max="4" width="13.33203125" style="40" bestFit="1" customWidth="1"/>
    <col min="5" max="5" width="13.44140625" style="40" bestFit="1" customWidth="1"/>
    <col min="6" max="6" width="21.6640625" style="40" bestFit="1" customWidth="1"/>
    <col min="7" max="16384" width="8.88671875" style="40"/>
  </cols>
  <sheetData>
    <row r="1" spans="1:7" ht="15.6" x14ac:dyDescent="0.3">
      <c r="A1" s="45" t="s">
        <v>114</v>
      </c>
      <c r="B1" s="40" t="s">
        <v>136</v>
      </c>
      <c r="F1" s="64" t="s">
        <v>170</v>
      </c>
      <c r="G1" s="2"/>
    </row>
    <row r="2" spans="1:7" ht="15.6" x14ac:dyDescent="0.3">
      <c r="A2" s="45" t="s">
        <v>115</v>
      </c>
      <c r="B2" s="40" t="s">
        <v>136</v>
      </c>
      <c r="F2" s="2" t="s">
        <v>167</v>
      </c>
      <c r="G2" s="2">
        <f>COUNTIF(Data_Raw!H:H,"Over Capacity")</f>
        <v>24</v>
      </c>
    </row>
    <row r="3" spans="1:7" ht="15.6" x14ac:dyDescent="0.3">
      <c r="A3" s="45" t="s">
        <v>116</v>
      </c>
      <c r="B3" s="40" t="s">
        <v>136</v>
      </c>
      <c r="F3" s="2" t="s">
        <v>171</v>
      </c>
      <c r="G3" s="2">
        <f>COUNTIF(Data_Raw!H:H,"At Capacity")</f>
        <v>4</v>
      </c>
    </row>
    <row r="4" spans="1:7" ht="15.6" x14ac:dyDescent="0.3">
      <c r="F4" s="2" t="s">
        <v>172</v>
      </c>
      <c r="G4" s="2">
        <f>COUNTIF(Data_Raw!H:H,"Hazmat Risk")</f>
        <v>2</v>
      </c>
    </row>
    <row r="5" spans="1:7" ht="15.6" x14ac:dyDescent="0.3">
      <c r="A5" s="45" t="s">
        <v>133</v>
      </c>
      <c r="B5" s="40" t="s">
        <v>135</v>
      </c>
      <c r="C5" s="40" t="s">
        <v>137</v>
      </c>
      <c r="D5" s="40" t="s">
        <v>138</v>
      </c>
      <c r="F5" s="2" t="s">
        <v>173</v>
      </c>
      <c r="G5" s="2">
        <f>COUNTA(Data_Raw!A:A)-1</f>
        <v>30</v>
      </c>
    </row>
    <row r="6" spans="1:7" ht="15.6" x14ac:dyDescent="0.3">
      <c r="A6" s="46" t="s">
        <v>21</v>
      </c>
      <c r="B6" s="47">
        <v>3030</v>
      </c>
      <c r="C6" s="47">
        <v>11</v>
      </c>
      <c r="D6" s="48">
        <v>0.64059196617336156</v>
      </c>
      <c r="F6" s="2" t="s">
        <v>174</v>
      </c>
      <c r="G6" s="65">
        <f>COUNTIF(Data_Raw!H:H,"Over Capacity") / (COUNTA(Data_Raw!A:A)-1)</f>
        <v>0.8</v>
      </c>
    </row>
    <row r="7" spans="1:7" x14ac:dyDescent="0.3">
      <c r="A7" s="46" t="s">
        <v>29</v>
      </c>
      <c r="B7" s="47">
        <v>1365</v>
      </c>
      <c r="C7" s="47">
        <v>12</v>
      </c>
      <c r="D7" s="48">
        <v>0.28858350951374206</v>
      </c>
    </row>
    <row r="8" spans="1:7" x14ac:dyDescent="0.3">
      <c r="A8" s="46" t="s">
        <v>37</v>
      </c>
      <c r="B8" s="47">
        <v>335</v>
      </c>
      <c r="C8" s="47">
        <v>7</v>
      </c>
      <c r="D8" s="48">
        <v>7.0824524312896403E-2</v>
      </c>
    </row>
    <row r="9" spans="1:7" x14ac:dyDescent="0.3">
      <c r="A9" s="49" t="s">
        <v>134</v>
      </c>
      <c r="B9" s="50">
        <v>4730</v>
      </c>
      <c r="C9" s="50">
        <v>30</v>
      </c>
      <c r="D9" s="51">
        <v>1</v>
      </c>
    </row>
    <row r="12" spans="1:7" ht="15" thickBot="1" x14ac:dyDescent="0.35"/>
    <row r="13" spans="1:7" ht="21.6" thickBot="1" x14ac:dyDescent="0.45">
      <c r="A13" s="61" t="s">
        <v>169</v>
      </c>
      <c r="B13" s="62"/>
    </row>
    <row r="14" spans="1:7" ht="15" thickBot="1" x14ac:dyDescent="0.35">
      <c r="A14" s="57" t="s">
        <v>162</v>
      </c>
      <c r="B14" s="60" t="s">
        <v>164</v>
      </c>
      <c r="C14" s="54"/>
      <c r="D14" s="55"/>
      <c r="E14" s="55"/>
      <c r="F14" s="56"/>
    </row>
    <row r="15" spans="1:7" x14ac:dyDescent="0.3">
      <c r="A15" s="53" t="s">
        <v>133</v>
      </c>
      <c r="B15" s="1" t="s">
        <v>165</v>
      </c>
      <c r="C15" s="14" t="s">
        <v>166</v>
      </c>
      <c r="D15" s="14" t="s">
        <v>167</v>
      </c>
      <c r="E15" s="14" t="s">
        <v>163</v>
      </c>
      <c r="F15" s="14" t="s">
        <v>134</v>
      </c>
    </row>
    <row r="16" spans="1:7" x14ac:dyDescent="0.3">
      <c r="A16" s="46" t="s">
        <v>21</v>
      </c>
      <c r="B16" s="63">
        <v>4</v>
      </c>
      <c r="C16" s="63">
        <v>2</v>
      </c>
      <c r="D16" s="63">
        <v>5</v>
      </c>
      <c r="E16" s="63"/>
      <c r="F16" s="63">
        <v>11</v>
      </c>
    </row>
    <row r="17" spans="1:6" x14ac:dyDescent="0.3">
      <c r="A17" s="46" t="s">
        <v>29</v>
      </c>
      <c r="B17" s="63"/>
      <c r="C17" s="63"/>
      <c r="D17" s="63">
        <v>12</v>
      </c>
      <c r="E17" s="63"/>
      <c r="F17" s="63">
        <v>12</v>
      </c>
    </row>
    <row r="18" spans="1:6" x14ac:dyDescent="0.3">
      <c r="A18" s="46" t="s">
        <v>37</v>
      </c>
      <c r="B18" s="63"/>
      <c r="C18" s="63"/>
      <c r="D18" s="63">
        <v>7</v>
      </c>
      <c r="E18" s="63"/>
      <c r="F18" s="63">
        <v>7</v>
      </c>
    </row>
    <row r="19" spans="1:6" x14ac:dyDescent="0.3">
      <c r="A19" s="46" t="s">
        <v>159</v>
      </c>
      <c r="B19" s="63"/>
      <c r="C19" s="63"/>
      <c r="D19" s="63"/>
      <c r="E19" s="63"/>
      <c r="F19" s="63"/>
    </row>
    <row r="20" spans="1:6" x14ac:dyDescent="0.3">
      <c r="A20" s="46" t="s">
        <v>134</v>
      </c>
      <c r="B20" s="52">
        <v>4</v>
      </c>
      <c r="C20" s="52">
        <v>2</v>
      </c>
      <c r="D20" s="52">
        <v>24</v>
      </c>
      <c r="E20" s="52"/>
      <c r="F20" s="52">
        <v>30</v>
      </c>
    </row>
    <row r="21" spans="1:6" ht="15" thickBot="1" x14ac:dyDescent="0.35"/>
    <row r="22" spans="1:6" ht="21.6" thickBot="1" x14ac:dyDescent="0.45">
      <c r="A22" s="58" t="s">
        <v>168</v>
      </c>
      <c r="B22" s="59"/>
    </row>
    <row r="23" spans="1:6" ht="15" thickBot="1" x14ac:dyDescent="0.35">
      <c r="A23" s="57" t="s">
        <v>162</v>
      </c>
      <c r="B23" s="57" t="s">
        <v>164</v>
      </c>
      <c r="C23" s="55"/>
      <c r="D23" s="55"/>
      <c r="E23" s="56"/>
    </row>
    <row r="24" spans="1:6" x14ac:dyDescent="0.3">
      <c r="A24" s="45" t="s">
        <v>133</v>
      </c>
      <c r="B24" s="40" t="s">
        <v>119</v>
      </c>
      <c r="C24" s="40" t="s">
        <v>128</v>
      </c>
      <c r="D24" s="40" t="s">
        <v>163</v>
      </c>
      <c r="E24" s="40" t="s">
        <v>134</v>
      </c>
    </row>
    <row r="25" spans="1:6" x14ac:dyDescent="0.3">
      <c r="A25" s="46" t="s">
        <v>21</v>
      </c>
      <c r="B25" s="63">
        <v>9</v>
      </c>
      <c r="C25" s="63">
        <v>2</v>
      </c>
      <c r="D25" s="63"/>
      <c r="E25" s="63">
        <v>11</v>
      </c>
    </row>
    <row r="26" spans="1:6" x14ac:dyDescent="0.3">
      <c r="A26" s="46" t="s">
        <v>29</v>
      </c>
      <c r="B26" s="63">
        <v>12</v>
      </c>
      <c r="C26" s="63"/>
      <c r="D26" s="63"/>
      <c r="E26" s="63">
        <v>12</v>
      </c>
    </row>
    <row r="27" spans="1:6" x14ac:dyDescent="0.3">
      <c r="A27" s="46" t="s">
        <v>37</v>
      </c>
      <c r="B27" s="63">
        <v>7</v>
      </c>
      <c r="C27" s="63"/>
      <c r="D27" s="63"/>
      <c r="E27" s="63">
        <v>7</v>
      </c>
    </row>
    <row r="28" spans="1:6" x14ac:dyDescent="0.3">
      <c r="A28" s="46" t="s">
        <v>163</v>
      </c>
      <c r="B28" s="63"/>
      <c r="C28" s="63"/>
      <c r="D28" s="63"/>
      <c r="E28" s="63"/>
    </row>
    <row r="29" spans="1:6" x14ac:dyDescent="0.3">
      <c r="A29" s="46" t="s">
        <v>134</v>
      </c>
      <c r="B29" s="52">
        <v>28</v>
      </c>
      <c r="C29" s="52">
        <v>2</v>
      </c>
      <c r="D29" s="52"/>
      <c r="E29" s="52">
        <v>30</v>
      </c>
    </row>
  </sheetData>
  <mergeCells count="2">
    <mergeCell ref="A22:B22"/>
    <mergeCell ref="A13:B13"/>
  </mergeCells>
  <conditionalFormatting sqref="D1:D5 D10:D15 D21:D24 D30:D1048576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D1:D15 D21:D24 D30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516772-C776-4CC7-9C5B-4C2CDA6F75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</vt:lpstr>
      <vt:lpstr>Data_Raw</vt:lpstr>
      <vt:lpstr>Calculations 1</vt:lpstr>
      <vt:lpstr>Calculations 2</vt:lpstr>
      <vt:lpstr>Pivot_Summary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Threats</dc:creator>
  <cp:lastModifiedBy>Geoffrey Threats</cp:lastModifiedBy>
  <dcterms:created xsi:type="dcterms:W3CDTF">2026-01-05T02:43:10Z</dcterms:created>
  <dcterms:modified xsi:type="dcterms:W3CDTF">2026-01-06T06:24:43Z</dcterms:modified>
</cp:coreProperties>
</file>